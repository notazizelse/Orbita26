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rt here" sheetId="1" state="visible" r:id="rId3"/>
    <sheet name="Parts" sheetId="2" state="visible" r:id="rId4"/>
    <sheet name="Wiring" sheetId="3" state="visible" r:id="rId5"/>
    <sheet name="Nets" sheetId="4" state="visible" r:id="rId6"/>
    <sheet name="Connectors" sheetId="5" state="visible" r:id="rId7"/>
  </sheets>
  <definedNames>
    <definedName function="false" hidden="true" localSheetId="2" name="_xlnm._FilterDatabase" vbProcedure="false">Wiring!$A$4:$I$125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<sst xmlns="http://schemas.openxmlformats.org/spreadsheetml/2006/main" count="1566" uniqueCount="437">
  <si>
    <t xml:space="preserve">SnailPulse — KiCad schematic connection workbook</t>
  </si>
  <si>
    <t xml:space="preserve">Orbita 2026 · everything you need to draw the schematic, part by part</t>
  </si>
  <si>
    <t xml:space="preserve">How to use this workbook</t>
  </si>
  <si>
    <t xml:space="preserve">1.  Parts tab — place every symbol in KiCad (Add Symbol, A). Copy the Symbol name into the search box.</t>
  </si>
  <si>
    <t xml:space="preserve">2.  Wiring tab — go part by part, pin by pin. Draw what the 'Net' column says, then pick ✓ in the Done column. The row turns green.</t>
  </si>
  <si>
    <t xml:space="preserve">3.  Nets tab — cross-check: every net should have the pin count shown. 'Pins found' updates from the Wiring tab.</t>
  </si>
  <si>
    <t xml:space="preserve">4.  Connectors tab — which wire from each plug goes where off the board (cable colours too).</t>
  </si>
  <si>
    <t xml:space="preserve">5.  Run ERC (Inspect → Electrical Rules Checker) and fix everything before assigning footprints.</t>
  </si>
  <si>
    <t xml:space="preserve">Colour key — blocks (same blocks as the drawings in chat)</t>
  </si>
  <si>
    <t xml:space="preserve">  A · Heartbeat amplifier</t>
  </si>
  <si>
    <t xml:space="preserve">  B · 1.65 V reference</t>
  </si>
  <si>
    <t xml:space="preserve">  C · Heater power switch</t>
  </si>
  <si>
    <t xml:space="preserve">  D · Temperature + overheat cutoff</t>
  </si>
  <si>
    <t xml:space="preserve">  E · Flight computer + sensor plugs</t>
  </si>
  <si>
    <t xml:space="preserve">Colour key — net types</t>
  </si>
  <si>
    <t xml:space="preserve">  Power</t>
  </si>
  <si>
    <t xml:space="preserve">  Ground</t>
  </si>
  <si>
    <t xml:space="preserve">  Analog</t>
  </si>
  <si>
    <t xml:space="preserve">  Control</t>
  </si>
  <si>
    <t xml:space="preserve">  Heater</t>
  </si>
  <si>
    <t xml:space="preserve">  Digital I²C</t>
  </si>
  <si>
    <t xml:space="preserve">KiCad tips that will save you time</t>
  </si>
  <si>
    <t xml:space="preserve">•  Power nets (+5V, +3V3, +14V8, GND, GNDPWR): never draw long wires — drop a power symbol at each pin. Same symbol name = same net.</t>
  </si>
  <si>
    <t xml:space="preserve">•  +14V8 has no built-in symbol: place power:VCC, press E, change its Value to +14V8. That renames the net.</t>
  </si>
  <si>
    <t xml:space="preserve">•  Add PWR_FLAG symbols on +5V, +3V3 and GND (next to J2) and on +14V8 and GNDPWR (next to J4), or ERC says 'power input not driven'.</t>
  </si>
  <si>
    <t xml:space="preserve">•  Signal nets: short wires inside a block; a net label (L) when the net crosses blocks (VREF, GATE, HB_ADC, NTC1_ADC, NTC2, PWM, SCL, SDA).</t>
  </si>
  <si>
    <t xml:space="preserve">•  MCP6002 and LM393 have 3 units each: A, B = the two halves, C = the power pins. You must place all three or ERC complains.</t>
  </si>
  <si>
    <t xml:space="preserve">•  U2 unit B is unused: wire pins 5 and 6 to GND and put a No-Connect flag (Q) on pin 7.</t>
  </si>
  <si>
    <t xml:space="preserve">•  Off-board parts (U3, TH1, TH2, R8–R10) are drawn so the circuit makes sense. In each one's properties tick 'Exclude from board'.</t>
  </si>
  <si>
    <t xml:space="preserve">•  NT1 (net tie) is the single point where heater ground (GNDPWR) joins signal ground (GND). On perfboard it is just one short wire.</t>
  </si>
  <si>
    <t xml:space="preserve">•  Match pins by NAME for U3 (A, K, C, E), Q1 (G, D, S) and the electrolytics (+ / −). Numbers can differ between symbol versions.</t>
  </si>
  <si>
    <t xml:space="preserve">•  JST-XH is really 2.50 mm pitch; on 2.54 mm perfboard it still fits up to 5 pins.</t>
  </si>
  <si>
    <t xml:space="preserve">Changes since last night's connection map</t>
  </si>
  <si>
    <t xml:space="preserve">•  Off-board items now go through plugs: J1 sensor, J5 heater, J6 thermistors, J7–J9 sensor modules, J2/J3 flight computer, J4 XT30.</t>
  </si>
  <si>
    <t xml:space="preserve">•  Added C8 (10 µF on 3.3 V), C10 and C11 (100 nF on the two NTC lines), NT1 net tie.</t>
  </si>
  <si>
    <t xml:space="preserve">•  R12 gate pull-down now goes to GNDPWR (right next to Q1's source) instead of signal GND.</t>
  </si>
  <si>
    <t xml:space="preserve">Block</t>
  </si>
  <si>
    <t xml:space="preserve">Ref</t>
  </si>
  <si>
    <t xml:space="preserve">Value</t>
  </si>
  <si>
    <t xml:space="preserve">What it does</t>
  </si>
  <si>
    <t xml:space="preserve">KiCad symbol (Add Symbol → search)</t>
  </si>
  <si>
    <t xml:space="preserve">Footprint</t>
  </si>
  <si>
    <t xml:space="preserve">On board?</t>
  </si>
  <si>
    <t xml:space="preserve">Placed</t>
  </si>
  <si>
    <t xml:space="preserve">A · Heartbeat amplifier</t>
  </si>
  <si>
    <t xml:space="preserve">A</t>
  </si>
  <si>
    <t xml:space="preserve">U3</t>
  </si>
  <si>
    <t xml:space="preserve">TCRT5000</t>
  </si>
  <si>
    <t xml:space="preserve">IR sensor on the snail shell (LED + phototransistor)</t>
  </si>
  <si>
    <t xml:space="preserve">Sensor_Proximity:TCRT5000 (if missing: Sensor_Proximity:CNY70, same pin names)</t>
  </si>
  <si>
    <t xml:space="preserve">— (off-board, tick “Exclude from board”)</t>
  </si>
  <si>
    <t xml:space="preserve">No — off-board</t>
  </si>
  <si>
    <t xml:space="preserve">J1</t>
  </si>
  <si>
    <t xml:space="preserve">Conn 1×4 (JST-XH)</t>
  </si>
  <si>
    <t xml:space="preserve">Plug for the sensor cable</t>
  </si>
  <si>
    <t xml:space="preserve">Connector_Generic:Conn_01x04</t>
  </si>
  <si>
    <t xml:space="preserve">Connector_JST:JST_XH_B4B-XH-A_1x04_P2.50mm_Vertical</t>
  </si>
  <si>
    <t xml:space="preserve">Yes</t>
  </si>
  <si>
    <t xml:space="preserve">R1</t>
  </si>
  <si>
    <t xml:space="preserve">220Ω</t>
  </si>
  <si>
    <t xml:space="preserve">Sets IR LED current (~17 mA)</t>
  </si>
  <si>
    <t xml:space="preserve">Device:R</t>
  </si>
  <si>
    <t xml:space="preserve">Resistor_THT:R_Axial_DIN0207_L6.3mm_D2.5mm_P7.62mm_Horizontal</t>
  </si>
  <si>
    <t xml:space="preserve">RV1</t>
  </si>
  <si>
    <t xml:space="preserve">50k trim</t>
  </si>
  <si>
    <t xml:space="preserve">Phototransistor load — turns light into voltage</t>
  </si>
  <si>
    <t xml:space="preserve">Device:R_Potentiometer_Trim</t>
  </si>
  <si>
    <t xml:space="preserve">Potentiometer_THT:Potentiometer_Bourns_3296W_Vertical</t>
  </si>
  <si>
    <t xml:space="preserve">C1</t>
  </si>
  <si>
    <t xml:space="preserve">1µF</t>
  </si>
  <si>
    <t xml:space="preserve">High-pass: blocks the steady DC level</t>
  </si>
  <si>
    <t xml:space="preserve">Device:C</t>
  </si>
  <si>
    <t xml:space="preserve">Capacitor_THT:C_Disc_D5.0mm_W2.5mm_P5.00mm</t>
  </si>
  <si>
    <t xml:space="preserve">R2</t>
  </si>
  <si>
    <t xml:space="preserve">1M</t>
  </si>
  <si>
    <t xml:space="preserve">High-pass: re-centres signal on 1.65 V</t>
  </si>
  <si>
    <t xml:space="preserve">U1</t>
  </si>
  <si>
    <t xml:space="preserve">MCP6002 · unit A</t>
  </si>
  <si>
    <t xml:space="preserve">Amplifier, gain 101</t>
  </si>
  <si>
    <t xml:space="preserve">Amplifier_Operational:MCP6002-xP (unit A)</t>
  </si>
  <si>
    <t xml:space="preserve">Package_DIP:DIP-8_W7.62mm_Socket</t>
  </si>
  <si>
    <t xml:space="preserve">R3</t>
  </si>
  <si>
    <t xml:space="preserve">1k</t>
  </si>
  <si>
    <t xml:space="preserve">Gain resistor (to VREF)</t>
  </si>
  <si>
    <t xml:space="preserve">R4</t>
  </si>
  <si>
    <t xml:space="preserve">100k</t>
  </si>
  <si>
    <t xml:space="preserve">Feedback resistor</t>
  </si>
  <si>
    <t xml:space="preserve">C2</t>
  </si>
  <si>
    <t xml:space="preserve">470nF</t>
  </si>
  <si>
    <t xml:space="preserve">Low-pass ~3.4 Hz (across R4)</t>
  </si>
  <si>
    <t xml:space="preserve">R5</t>
  </si>
  <si>
    <t xml:space="preserve">ADC input filter + pin protection</t>
  </si>
  <si>
    <t xml:space="preserve">C3</t>
  </si>
  <si>
    <t xml:space="preserve">100nF</t>
  </si>
  <si>
    <t xml:space="preserve">ADC input filter</t>
  </si>
  <si>
    <t xml:space="preserve">B · 1.65 V reference</t>
  </si>
  <si>
    <t xml:space="preserve">B</t>
  </si>
  <si>
    <t xml:space="preserve">R6</t>
  </si>
  <si>
    <t xml:space="preserve">10k</t>
  </si>
  <si>
    <t xml:space="preserve">Divider top (3.3 V → 1.65 V)</t>
  </si>
  <si>
    <t xml:space="preserve">R7</t>
  </si>
  <si>
    <t xml:space="preserve">Divider bottom</t>
  </si>
  <si>
    <t xml:space="preserve">C4</t>
  </si>
  <si>
    <t xml:space="preserve">10µF</t>
  </si>
  <si>
    <t xml:space="preserve">Smooths the divider</t>
  </si>
  <si>
    <t xml:space="preserve">Device:C_Polarized</t>
  </si>
  <si>
    <t xml:space="preserve">Capacitor_THT:CP_Radial_D5.0mm_P2.00mm</t>
  </si>
  <si>
    <t xml:space="preserve">MCP6002 · unit B</t>
  </si>
  <si>
    <t xml:space="preserve">Buffer → makes VREF</t>
  </si>
  <si>
    <t xml:space="preserve">Amplifier_Operational:MCP6002-xP (unit B)</t>
  </si>
  <si>
    <t xml:space="preserve">MCP6002 · unit C (power)</t>
  </si>
  <si>
    <t xml:space="preserve">Power pins of U1</t>
  </si>
  <si>
    <t xml:space="preserve">Amplifier_Operational:MCP6002-xP (unit C)</t>
  </si>
  <si>
    <t xml:space="preserve">C5</t>
  </si>
  <si>
    <t xml:space="preserve">Decoupling for U1 — place at pins 8–4</t>
  </si>
  <si>
    <t xml:space="preserve">C · Heater power switch</t>
  </si>
  <si>
    <t xml:space="preserve">C</t>
  </si>
  <si>
    <t xml:space="preserve">J4</t>
  </si>
  <si>
    <t xml:space="preserve">XT30</t>
  </si>
  <si>
    <t xml:space="preserve">14.8 V input from port X8</t>
  </si>
  <si>
    <t xml:space="preserve">Connector_Generic:Conn_01x02</t>
  </si>
  <si>
    <t xml:space="preserve">Connector_AMASS:AMASS_XT30U-M_1x02_P5.0mm_Vertical</t>
  </si>
  <si>
    <t xml:space="preserve">C6</t>
  </si>
  <si>
    <t xml:space="preserve">10µF 50V</t>
  </si>
  <si>
    <t xml:space="preserve">Absorbs PWM current pulses</t>
  </si>
  <si>
    <t xml:space="preserve">J5</t>
  </si>
  <si>
    <t xml:space="preserve">Terminal 1×2 (KF2EDG)</t>
  </si>
  <si>
    <t xml:space="preserve">Heater wires out</t>
  </si>
  <si>
    <t xml:space="preserve">TerminalBlock:TerminalBlock_bornier-2_P5.08mm</t>
  </si>
  <si>
    <t xml:space="preserve">R8</t>
  </si>
  <si>
    <t xml:space="preserve">150Ω 5W</t>
  </si>
  <si>
    <t xml:space="preserve">Heater element (3 in parallel = 50 Ω)</t>
  </si>
  <si>
    <t xml:space="preserve">R9</t>
  </si>
  <si>
    <t xml:space="preserve">R10</t>
  </si>
  <si>
    <t xml:space="preserve">Q1</t>
  </si>
  <si>
    <t xml:space="preserve">IRLZ44N</t>
  </si>
  <si>
    <t xml:space="preserve">Switches heater on/off</t>
  </si>
  <si>
    <t xml:space="preserve">Transistor_FET:IRLZ44N</t>
  </si>
  <si>
    <t xml:space="preserve">Package_TO_SOT_THT:TO-220-3_Vertical</t>
  </si>
  <si>
    <t xml:space="preserve">R11</t>
  </si>
  <si>
    <t xml:space="preserve">Gate resistor — lets U2 overpower PC6</t>
  </si>
  <si>
    <t xml:space="preserve">R12</t>
  </si>
  <si>
    <t xml:space="preserve">Gate pull-down — heater OFF during boot</t>
  </si>
  <si>
    <t xml:space="preserve">NT1</t>
  </si>
  <si>
    <t xml:space="preserve">Net tie</t>
  </si>
  <si>
    <t xml:space="preserve">The ONE point where power ground meets signal ground</t>
  </si>
  <si>
    <t xml:space="preserve">Device:NetTie_2</t>
  </si>
  <si>
    <t xml:space="preserve">NetTie:NetTie-2_THT_Pad1.0mm</t>
  </si>
  <si>
    <t xml:space="preserve">D · Temperature + overheat cutoff</t>
  </si>
  <si>
    <t xml:space="preserve">D</t>
  </si>
  <si>
    <t xml:space="preserve">J6</t>
  </si>
  <si>
    <t xml:space="preserve">Plug for the two thermistors</t>
  </si>
  <si>
    <t xml:space="preserve">TH1</t>
  </si>
  <si>
    <t xml:space="preserve">NTC 10k</t>
  </si>
  <si>
    <t xml:space="preserve">Heater temp → firmware (PB1)</t>
  </si>
  <si>
    <t xml:space="preserve">Device:Thermistor_NTC</t>
  </si>
  <si>
    <t xml:space="preserve">R14</t>
  </si>
  <si>
    <t xml:space="preserve">Divider with TH1</t>
  </si>
  <si>
    <t xml:space="preserve">C10</t>
  </si>
  <si>
    <t xml:space="preserve">Filters NTC1 reading</t>
  </si>
  <si>
    <t xml:space="preserve">TH2</t>
  </si>
  <si>
    <t xml:space="preserve">Heater temp → hardware cutoff</t>
  </si>
  <si>
    <t xml:space="preserve">R13</t>
  </si>
  <si>
    <t xml:space="preserve">Divider with TH2</t>
  </si>
  <si>
    <t xml:space="preserve">C11</t>
  </si>
  <si>
    <t xml:space="preserve">Filters NTC2 (stops comparator chatter)</t>
  </si>
  <si>
    <t xml:space="preserve">RV2</t>
  </si>
  <si>
    <t xml:space="preserve">10k trim</t>
  </si>
  <si>
    <t xml:space="preserve">Cutoff threshold — set ≈1.1 V (40 °C)</t>
  </si>
  <si>
    <t xml:space="preserve">U2</t>
  </si>
  <si>
    <t xml:space="preserve">LM393 · unit A</t>
  </si>
  <si>
    <t xml:space="preserve">Comparator: too hot → pulls GATE low</t>
  </si>
  <si>
    <t xml:space="preserve">Comparator:LM393 (unit A)</t>
  </si>
  <si>
    <t xml:space="preserve">LM393 · unit B (unused)</t>
  </si>
  <si>
    <t xml:space="preserve">Spare half — tie off</t>
  </si>
  <si>
    <t xml:space="preserve">Comparator:LM393 (unit B)</t>
  </si>
  <si>
    <t xml:space="preserve">LM393 · unit C (power)</t>
  </si>
  <si>
    <t xml:space="preserve">Power pins of U2 — 5 V!</t>
  </si>
  <si>
    <t xml:space="preserve">Comparator:LM393 (unit C)</t>
  </si>
  <si>
    <t xml:space="preserve">C7</t>
  </si>
  <si>
    <t xml:space="preserve">Decoupling for U2 — place at pins 8–4</t>
  </si>
  <si>
    <t xml:space="preserve">E · Flight computer + sensor plugs</t>
  </si>
  <si>
    <t xml:space="preserve">E</t>
  </si>
  <si>
    <t xml:space="preserve">J2</t>
  </si>
  <si>
    <t xml:space="preserve">Conn 1×3 (JST-XH)</t>
  </si>
  <si>
    <t xml:space="preserve">Power from flight computer</t>
  </si>
  <si>
    <t xml:space="preserve">Connector_Generic:Conn_01x03</t>
  </si>
  <si>
    <t xml:space="preserve">Connector_JST:JST_XH_B3B-XH-A_1x03_P2.50mm_Vertical</t>
  </si>
  <si>
    <t xml:space="preserve">C8</t>
  </si>
  <si>
    <t xml:space="preserve">Bulk cap on 3.3 V</t>
  </si>
  <si>
    <t xml:space="preserve">J3</t>
  </si>
  <si>
    <t xml:space="preserve">Conn 1×5 (JST-XH)</t>
  </si>
  <si>
    <t xml:space="preserve">Signals to flight computer</t>
  </si>
  <si>
    <t xml:space="preserve">Connector_Generic:Conn_01x05</t>
  </si>
  <si>
    <t xml:space="preserve">Connector_JST:JST_XH_B5B-XH-A_1x05_P2.50mm_Vertical</t>
  </si>
  <si>
    <t xml:space="preserve">J7</t>
  </si>
  <si>
    <t xml:space="preserve">SHT21 module plug</t>
  </si>
  <si>
    <t xml:space="preserve">J8</t>
  </si>
  <si>
    <t xml:space="preserve">BMP280 module plug (pin 5 = SDO → GND, address 0x76)</t>
  </si>
  <si>
    <t xml:space="preserve">J9</t>
  </si>
  <si>
    <t xml:space="preserve">MAX30100 module plug</t>
  </si>
  <si>
    <t xml:space="preserve">Pin-by-pin wiring — draw each row, then pick ✓</t>
  </si>
  <si>
    <t xml:space="preserve">Part</t>
  </si>
  <si>
    <t xml:space="preserve">Pin #</t>
  </si>
  <si>
    <t xml:space="preserve">Pin name</t>
  </si>
  <si>
    <t xml:space="preserve">Net</t>
  </si>
  <si>
    <t xml:space="preserve">Connects to (other pins on this net)</t>
  </si>
  <si>
    <t xml:space="preserve">How to draw it in KiCad</t>
  </si>
  <si>
    <t xml:space="preserve">Done</t>
  </si>
  <si>
    <t xml:space="preserve">LED anode</t>
  </si>
  <si>
    <t xml:space="preserve">LED_A</t>
  </si>
  <si>
    <t xml:space="preserve">J1.1,  R1.2</t>
  </si>
  <si>
    <t xml:space="preserve">Wire (or label LED_A)</t>
  </si>
  <si>
    <t xml:space="preserve">K</t>
  </si>
  <si>
    <t xml:space="preserve">LED cathode</t>
  </si>
  <si>
    <t xml:space="preserve">GND</t>
  </si>
  <si>
    <t xml:space="preserve">Power net — 27 pins share it (see Nets tab)</t>
  </si>
  <si>
    <t xml:space="preserve">power:GND symbol</t>
  </si>
  <si>
    <t xml:space="preserve">Collector</t>
  </si>
  <si>
    <t xml:space="preserve">+3V3</t>
  </si>
  <si>
    <t xml:space="preserve">Power net — 13 pins share it (see Nets tab)</t>
  </si>
  <si>
    <t xml:space="preserve">power:+3V3 symbol</t>
  </si>
  <si>
    <t xml:space="preserve">Emitter</t>
  </si>
  <si>
    <t xml:space="preserve">SENSE</t>
  </si>
  <si>
    <t xml:space="preserve">J1.4,  RV1.1,  C1.1</t>
  </si>
  <si>
    <t xml:space="preserve">Wire (or label SENSE)</t>
  </si>
  <si>
    <t xml:space="preserve">1</t>
  </si>
  <si>
    <t xml:space="preserve">Pin_1</t>
  </si>
  <si>
    <t xml:space="preserve">U3.A,  R1.2</t>
  </si>
  <si>
    <t xml:space="preserve">2</t>
  </si>
  <si>
    <t xml:space="preserve">Pin_2</t>
  </si>
  <si>
    <t xml:space="preserve">3</t>
  </si>
  <si>
    <t xml:space="preserve">Pin_3</t>
  </si>
  <si>
    <t xml:space="preserve">4</t>
  </si>
  <si>
    <t xml:space="preserve">Pin_4</t>
  </si>
  <si>
    <t xml:space="preserve">U3.E,  RV1.1,  C1.1</t>
  </si>
  <si>
    <t xml:space="preserve">~</t>
  </si>
  <si>
    <t xml:space="preserve">+5V</t>
  </si>
  <si>
    <t xml:space="preserve">Power net — 4 pins share it (see Nets tab)</t>
  </si>
  <si>
    <t xml:space="preserve">power:+5V symbol</t>
  </si>
  <si>
    <t xml:space="preserve">U3.A,  J1.1</t>
  </si>
  <si>
    <t xml:space="preserve">U3.E,  J1.4,  C1.1</t>
  </si>
  <si>
    <t xml:space="preserve">wiper</t>
  </si>
  <si>
    <t xml:space="preserve">U3.E,  J1.4,  RV1.1</t>
  </si>
  <si>
    <t xml:space="preserve">HP_IN</t>
  </si>
  <si>
    <t xml:space="preserve">R2.1,  U1.3</t>
  </si>
  <si>
    <t xml:space="preserve">Wire (or label HP_IN)</t>
  </si>
  <si>
    <t xml:space="preserve">C1.2,  U1.3</t>
  </si>
  <si>
    <t xml:space="preserve">VREF</t>
  </si>
  <si>
    <t xml:space="preserve">R3.2,  U1.6,  U1.7</t>
  </si>
  <si>
    <t xml:space="preserve">Label VREF (used in 2 blocks)</t>
  </si>
  <si>
    <t xml:space="preserve">+</t>
  </si>
  <si>
    <t xml:space="preserve">C1.2,  R2.1</t>
  </si>
  <si>
    <t xml:space="preserve">−</t>
  </si>
  <si>
    <t xml:space="preserve">FB</t>
  </si>
  <si>
    <t xml:space="preserve">R3.1,  R4.1,  C2.1</t>
  </si>
  <si>
    <t xml:space="preserve">Wire (or label FB)</t>
  </si>
  <si>
    <t xml:space="preserve">OUT</t>
  </si>
  <si>
    <t xml:space="preserve">AMP_OUT</t>
  </si>
  <si>
    <t xml:space="preserve">R4.2,  C2.2,  R5.1</t>
  </si>
  <si>
    <t xml:space="preserve">Wire (or label AMP_OUT)</t>
  </si>
  <si>
    <t xml:space="preserve">U1.2,  R4.1,  C2.1</t>
  </si>
  <si>
    <t xml:space="preserve">R2.2,  U1.6,  U1.7</t>
  </si>
  <si>
    <t xml:space="preserve">U1.2,  R3.1,  C2.1</t>
  </si>
  <si>
    <t xml:space="preserve">U1.1,  C2.2,  R5.1</t>
  </si>
  <si>
    <t xml:space="preserve">U1.2,  R3.1,  R4.1</t>
  </si>
  <si>
    <t xml:space="preserve">U1.1,  R4.2,  R5.1</t>
  </si>
  <si>
    <t xml:space="preserve">U1.1,  R4.2,  C2.2</t>
  </si>
  <si>
    <t xml:space="preserve">HB_ADC</t>
  </si>
  <si>
    <t xml:space="preserve">C3.1,  J3.1</t>
  </si>
  <si>
    <t xml:space="preserve">Label HB_ADC</t>
  </si>
  <si>
    <t xml:space="preserve">R5.2,  J3.1</t>
  </si>
  <si>
    <t xml:space="preserve">REF_DIV</t>
  </si>
  <si>
    <t xml:space="preserve">R7.1,  C4.1,  U1.5</t>
  </si>
  <si>
    <t xml:space="preserve">Wire (or label REF_DIV)</t>
  </si>
  <si>
    <t xml:space="preserve">R6.2,  C4.1,  U1.5</t>
  </si>
  <si>
    <t xml:space="preserve">R6.2,  R7.1,  U1.5</t>
  </si>
  <si>
    <t xml:space="preserve">5</t>
  </si>
  <si>
    <t xml:space="preserve">R6.2,  R7.1,  C4.1</t>
  </si>
  <si>
    <t xml:space="preserve">6</t>
  </si>
  <si>
    <t xml:space="preserve">R2.2,  R3.2,  U1.7</t>
  </si>
  <si>
    <t xml:space="preserve">7</t>
  </si>
  <si>
    <t xml:space="preserve">R2.2,  R3.2,  U1.6</t>
  </si>
  <si>
    <t xml:space="preserve">8</t>
  </si>
  <si>
    <t xml:space="preserve">V+</t>
  </si>
  <si>
    <t xml:space="preserve">V−</t>
  </si>
  <si>
    <t xml:space="preserve">+14V8</t>
  </si>
  <si>
    <t xml:space="preserve">Power net — 6 pins share it (see Nets tab)</t>
  </si>
  <si>
    <t xml:space="preserve">power:VCC symbol, change Value to +14V8</t>
  </si>
  <si>
    <t xml:space="preserve">GNDPWR</t>
  </si>
  <si>
    <t xml:space="preserve">Power net — 5 pins share it (see Nets tab)</t>
  </si>
  <si>
    <t xml:space="preserve">power:GNDPWR symbol</t>
  </si>
  <si>
    <t xml:space="preserve">HEATER_LO</t>
  </si>
  <si>
    <t xml:space="preserve">R8.2,  R9.2,  R10.2,  Q1.2</t>
  </si>
  <si>
    <t xml:space="preserve">Label HEATER_LO</t>
  </si>
  <si>
    <t xml:space="preserve">J5.2,  R9.2,  R10.2,  Q1.2</t>
  </si>
  <si>
    <t xml:space="preserve">J5.2,  R8.2,  R10.2,  Q1.2</t>
  </si>
  <si>
    <t xml:space="preserve">J5.2,  R8.2,  R9.2,  Q1.2</t>
  </si>
  <si>
    <t xml:space="preserve">G</t>
  </si>
  <si>
    <t xml:space="preserve">GATE</t>
  </si>
  <si>
    <t xml:space="preserve">R11.2,  R12.1,  U2.1</t>
  </si>
  <si>
    <t xml:space="preserve">Label GATE (used in 2 blocks)</t>
  </si>
  <si>
    <t xml:space="preserve">J5.2,  R8.2,  R9.2,  R10.2</t>
  </si>
  <si>
    <t xml:space="preserve">S</t>
  </si>
  <si>
    <t xml:space="preserve">PWM</t>
  </si>
  <si>
    <t xml:space="preserve">J3.3</t>
  </si>
  <si>
    <t xml:space="preserve">Label PWM</t>
  </si>
  <si>
    <t xml:space="preserve">Q1.1,  R12.1,  U2.1</t>
  </si>
  <si>
    <t xml:space="preserve">Q1.1,  R11.2,  U2.1</t>
  </si>
  <si>
    <t xml:space="preserve">NTC1_ADC</t>
  </si>
  <si>
    <t xml:space="preserve">TH1.1,  R14.2,  C10.1,  J3.2</t>
  </si>
  <si>
    <t xml:space="preserve">Label NTC1_ADC</t>
  </si>
  <si>
    <t xml:space="preserve">NTC2</t>
  </si>
  <si>
    <t xml:space="preserve">TH2.1,  R13.2,  C11.1,  U2.3</t>
  </si>
  <si>
    <t xml:space="preserve">Label NTC2</t>
  </si>
  <si>
    <t xml:space="preserve">J6.1,  R14.2,  C10.1,  J3.2</t>
  </si>
  <si>
    <t xml:space="preserve">J6.1,  TH1.1,  C10.1,  J3.2</t>
  </si>
  <si>
    <t xml:space="preserve">J6.1,  TH1.1,  R14.2,  J3.2</t>
  </si>
  <si>
    <t xml:space="preserve">J6.3,  R13.2,  C11.1,  U2.3</t>
  </si>
  <si>
    <t xml:space="preserve">J6.3,  TH2.1,  C11.1,  U2.3</t>
  </si>
  <si>
    <t xml:space="preserve">J6.3,  TH2.1,  R13.2,  U2.3</t>
  </si>
  <si>
    <t xml:space="preserve">THRESH</t>
  </si>
  <si>
    <t xml:space="preserve">U2.2</t>
  </si>
  <si>
    <t xml:space="preserve">Wire (or label THRESH)</t>
  </si>
  <si>
    <t xml:space="preserve">J6.3,  TH2.1,  R13.2,  C11.1</t>
  </si>
  <si>
    <t xml:space="preserve">RV2.2</t>
  </si>
  <si>
    <t xml:space="preserve">Q1.1,  R11.2,  R12.1</t>
  </si>
  <si>
    <t xml:space="preserve">(no connect)</t>
  </si>
  <si>
    <t xml:space="preserve">nothing</t>
  </si>
  <si>
    <t xml:space="preserve">No-Connect flag (Q)</t>
  </si>
  <si>
    <t xml:space="preserve">R5.2,  C3.1</t>
  </si>
  <si>
    <t xml:space="preserve">J6.1,  TH1.1,  R14.2,  C10.1</t>
  </si>
  <si>
    <t xml:space="preserve">R11.1</t>
  </si>
  <si>
    <t xml:space="preserve">SCL</t>
  </si>
  <si>
    <t xml:space="preserve">J7.3,  J8.3,  J9.3</t>
  </si>
  <si>
    <t xml:space="preserve">Label SCL</t>
  </si>
  <si>
    <t xml:space="preserve">Pin_5</t>
  </si>
  <si>
    <t xml:space="preserve">SDA</t>
  </si>
  <si>
    <t xml:space="preserve">J7.4,  J8.4,  J9.4</t>
  </si>
  <si>
    <t xml:space="preserve">Label SDA</t>
  </si>
  <si>
    <t xml:space="preserve">J3.4,  J8.3,  J9.3</t>
  </si>
  <si>
    <t xml:space="preserve">J3.5,  J8.4,  J9.4</t>
  </si>
  <si>
    <t xml:space="preserve">J3.4,  J7.3,  J9.3</t>
  </si>
  <si>
    <t xml:space="preserve">J3.5,  J7.4,  J9.4</t>
  </si>
  <si>
    <t xml:space="preserve">J3.4,  J7.3,  J8.3</t>
  </si>
  <si>
    <t xml:space="preserve">J3.5,  J7.4,  J8.4</t>
  </si>
  <si>
    <t xml:space="preserve">Type</t>
  </si>
  <si>
    <t xml:space="preserve">How to draw it</t>
  </si>
  <si>
    <t xml:space="preserve">Pins on this net</t>
  </si>
  <si>
    <t xml:space="preserve">Pins expected</t>
  </si>
  <si>
    <t xml:space="preserve">Pins found in Wiring tab</t>
  </si>
  <si>
    <t xml:space="preserve">Check</t>
  </si>
  <si>
    <t xml:space="preserve">Power</t>
  </si>
  <si>
    <t xml:space="preserve">R1.1,  U2.8,  C7.1,  J2.1</t>
  </si>
  <si>
    <t xml:space="preserve">U3.C,  J1.3,  R6.1,  U1.8,  C5.1,  R14.1,  R13.1,  RV2.1,  J2.2,  C8.1,  J7.1,  J8.1,  J9.1</t>
  </si>
  <si>
    <t xml:space="preserve">J4.1,  C6.1,  J5.1,  R8.1,  R9.1,  R10.1</t>
  </si>
  <si>
    <t xml:space="preserve">Ground</t>
  </si>
  <si>
    <t xml:space="preserve">U3.K,  J1.2,  RV1.2,  RV1.3,  C3.2,  R7.2,  C4.2,  U1.4,  C5.2,  NT1.2,  J6.2,  J6.4,  TH1.2,  C10.2,  TH2.2,  C11.2,  RV2.3,  U2.5,  U2.6,  U2.4,  C7.2,  J2.3,  C8.2,  J7.2,  J8.2,  J8.5,  J9.2</t>
  </si>
  <si>
    <t xml:space="preserve">J4.2,  C6.2,  Q1.3,  R12.2,  NT1.1</t>
  </si>
  <si>
    <t xml:space="preserve">Analog</t>
  </si>
  <si>
    <t xml:space="preserve">U3.A,  J1.1,  R1.2</t>
  </si>
  <si>
    <t xml:space="preserve">U3.E,  J1.4,  RV1.1,  C1.1</t>
  </si>
  <si>
    <t xml:space="preserve">C1.2,  R2.1,  U1.3</t>
  </si>
  <si>
    <t xml:space="preserve">U1.2,  R3.1,  R4.1,  C2.1</t>
  </si>
  <si>
    <t xml:space="preserve">U1.1,  R4.2,  C2.2,  R5.1</t>
  </si>
  <si>
    <t xml:space="preserve">R5.2,  C3.1,  J3.1</t>
  </si>
  <si>
    <t xml:space="preserve">R6.2,  R7.1,  C4.1,  U1.5</t>
  </si>
  <si>
    <t xml:space="preserve">R2.2,  R3.2,  U1.6,  U1.7</t>
  </si>
  <si>
    <t xml:space="preserve">J6.1,  TH1.1,  R14.2,  C10.1,  J3.2</t>
  </si>
  <si>
    <t xml:space="preserve">J6.3,  TH2.1,  R13.2,  C11.1,  U2.3</t>
  </si>
  <si>
    <t xml:space="preserve">RV2.2,  U2.2</t>
  </si>
  <si>
    <t xml:space="preserve">Control</t>
  </si>
  <si>
    <t xml:space="preserve">R11.1,  J3.3</t>
  </si>
  <si>
    <t xml:space="preserve">Q1.1,  R11.2,  R12.1,  U2.1</t>
  </si>
  <si>
    <t xml:space="preserve">Heater</t>
  </si>
  <si>
    <t xml:space="preserve">J5.2,  R8.2,  R9.2,  R10.2,  Q1.2</t>
  </si>
  <si>
    <t xml:space="preserve">Digital I²C</t>
  </si>
  <si>
    <t xml:space="preserve">J3.4,  J7.3,  J8.3,  J9.3</t>
  </si>
  <si>
    <t xml:space="preserve">J3.5,  J7.4,  J8.4,  J9.4</t>
  </si>
  <si>
    <t xml:space="preserve">No-Connect flag</t>
  </si>
  <si>
    <t xml:space="preserve">U2.7</t>
  </si>
  <si>
    <t xml:space="preserve">Plugs and cables — what each wire goes to off the board</t>
  </si>
  <si>
    <t xml:space="preserve">Plug</t>
  </si>
  <si>
    <t xml:space="preserve">Pin</t>
  </si>
  <si>
    <t xml:space="preserve">Wire goes to (other end)</t>
  </si>
  <si>
    <t xml:space="preserve">Suggested wire colour</t>
  </si>
  <si>
    <t xml:space="preserve">J1 · Sensor cable</t>
  </si>
  <si>
    <t xml:space="preserve">JST-XH 4-pin</t>
  </si>
  <si>
    <t xml:space="preserve">TCRT5000 pin A (LED anode)</t>
  </si>
  <si>
    <t xml:space="preserve">Green</t>
  </si>
  <si>
    <t xml:space="preserve">TCRT5000 pin K (LED cathode)</t>
  </si>
  <si>
    <t xml:space="preserve">Black</t>
  </si>
  <si>
    <t xml:space="preserve">TCRT5000 pin C (collector)</t>
  </si>
  <si>
    <t xml:space="preserve">Red</t>
  </si>
  <si>
    <t xml:space="preserve">TCRT5000 pin E (emitter)</t>
  </si>
  <si>
    <t xml:space="preserve">Yellow</t>
  </si>
  <si>
    <t xml:space="preserve">J2 · Flight computer power</t>
  </si>
  <si>
    <t xml:space="preserve">JST-XH 3-pin</t>
  </si>
  <si>
    <t xml:space="preserve">Flight computer 5V</t>
  </si>
  <si>
    <t xml:space="preserve">Flight computer 3V3</t>
  </si>
  <si>
    <t xml:space="preserve">Orange</t>
  </si>
  <si>
    <t xml:space="preserve">Flight computer GND</t>
  </si>
  <si>
    <t xml:space="preserve">J3 · Flight computer signals</t>
  </si>
  <si>
    <t xml:space="preserve">JST-XH 5-pin</t>
  </si>
  <si>
    <t xml:space="preserve">PB0 (ADC)</t>
  </si>
  <si>
    <t xml:space="preserve">PB1 (ADC)</t>
  </si>
  <si>
    <t xml:space="preserve">White</t>
  </si>
  <si>
    <t xml:space="preserve">PC6 (PWM)</t>
  </si>
  <si>
    <t xml:space="preserve">PD12 (I²C4 SCL)</t>
  </si>
  <si>
    <t xml:space="preserve">Blue</t>
  </si>
  <si>
    <t xml:space="preserve">PD13 (I²C4 SDA)</t>
  </si>
  <si>
    <t xml:space="preserve">Purple</t>
  </si>
  <si>
    <t xml:space="preserve">J4 · 14.8 V in</t>
  </si>
  <si>
    <t xml:space="preserve">Port X8 + (14.8 V)</t>
  </si>
  <si>
    <t xml:space="preserve">Red, 20 AWG</t>
  </si>
  <si>
    <t xml:space="preserve">Port X8 −</t>
  </si>
  <si>
    <t xml:space="preserve">Black, 20 AWG</t>
  </si>
  <si>
    <t xml:space="preserve">J5 · Heater</t>
  </si>
  <si>
    <t xml:space="preserve">KF2EDG 2-pin</t>
  </si>
  <si>
    <t xml:space="preserve">Heater bank: R8, R9, R10 joined at one end</t>
  </si>
  <si>
    <t xml:space="preserve">Heater bank: R8, R9, R10 joined at other end</t>
  </si>
  <si>
    <t xml:space="preserve">J6 · Thermistors</t>
  </si>
  <si>
    <t xml:space="preserve">TH1 leg 1 (taped to heater)</t>
  </si>
  <si>
    <t xml:space="preserve">TH1 leg 2</t>
  </si>
  <si>
    <t xml:space="preserve">TH2 leg 1 (taped to heater)</t>
  </si>
  <si>
    <t xml:space="preserve">Brown</t>
  </si>
  <si>
    <t xml:space="preserve">TH2 leg 2</t>
  </si>
  <si>
    <t xml:space="preserve">J7 · SHT21 module</t>
  </si>
  <si>
    <t xml:space="preserve">Module VIN</t>
  </si>
  <si>
    <t xml:space="preserve">Module GND</t>
  </si>
  <si>
    <t xml:space="preserve">Module SCL</t>
  </si>
  <si>
    <t xml:space="preserve">Module SDA</t>
  </si>
  <si>
    <t xml:space="preserve">J8 · BMP280 module</t>
  </si>
  <si>
    <t xml:space="preserve">Module VCC</t>
  </si>
  <si>
    <t xml:space="preserve">Module SDO (sets address 0x76)</t>
  </si>
  <si>
    <t xml:space="preserve">J9 · MAX30100 module</t>
  </si>
  <si>
    <t xml:space="preserve">Note: the MAX30100 board's I²C pull-ups go to 1.8 V on many cheap modules. If the STM32 can't read it, that's why — it's the backup sensor anyway.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</si>
</sst>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5B3A87"/>
      <name val="Arial"/>
      <family val="0"/>
      <charset val="1"/>
    </font>
    <font>
      <b val="true"/>
      <sz val="10"/>
      <color rgb="FF9C4A0C"/>
      <name val="Arial"/>
      <family val="0"/>
      <charset val="1"/>
    </font>
    <font>
      <b val="true"/>
      <sz val="10"/>
      <color rgb="FF8B1E2B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1"/>
      <color rgb="FF5B3A87"/>
      <name val="Arial"/>
      <family val="0"/>
      <charset val="1"/>
    </font>
    <font>
      <b val="true"/>
      <sz val="11"/>
      <color rgb="FF9C4A0C"/>
      <name val="Arial"/>
      <family val="0"/>
      <charset val="1"/>
    </font>
    <font>
      <b val="true"/>
      <sz val="11"/>
      <color rgb="FF8B1E2B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4DFEC"/>
        <bgColor rgb="FFD9D9D9"/>
      </patternFill>
    </fill>
    <fill>
      <patternFill patternType="solid">
        <fgColor rgb="FFFCE4D6"/>
        <bgColor rgb="FFF8D7DA"/>
      </patternFill>
    </fill>
    <fill>
      <patternFill patternType="solid">
        <fgColor rgb="FFF8D7DA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4B6B6"/>
        <bgColor rgb="FFFFC7CE"/>
      </patternFill>
    </fill>
    <fill>
      <patternFill patternType="solid">
        <fgColor rgb="FFD9D9D9"/>
        <bgColor rgb="FFD0D0D0"/>
      </patternFill>
    </fill>
    <fill>
      <patternFill patternType="solid">
        <fgColor rgb="FFBDD7EE"/>
        <bgColor rgb="FFD0D0D0"/>
      </patternFill>
    </fill>
    <fill>
      <patternFill patternType="solid">
        <fgColor rgb="FFFFE699"/>
        <bgColor rgb="FFFCE4D6"/>
      </patternFill>
    </fill>
    <fill>
      <patternFill patternType="solid">
        <fgColor rgb="FFF8CBAD"/>
        <bgColor rgb="FFFFC7CE"/>
      </patternFill>
    </fill>
    <fill>
      <patternFill patternType="solid">
        <fgColor rgb="FFC6E0B4"/>
        <bgColor rgb="FFC6EFCE"/>
      </patternFill>
    </fill>
    <fill>
      <patternFill patternType="solid">
        <fgColor rgb="FF1F3A5F"/>
        <bgColor rgb="FF1F4E79"/>
      </patternFill>
    </fill>
    <fill>
      <patternFill patternType="solid">
        <fgColor rgb="FF00B050"/>
        <bgColor rgb="FF008080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9900"/>
      </patternFill>
    </fill>
    <fill>
      <patternFill patternType="solid">
        <fgColor rgb="FFFFFFFF"/>
        <bgColor rgb="FFE2EFDA"/>
      </patternFill>
    </fill>
    <fill>
      <patternFill patternType="solid">
        <fgColor rgb="FF0070C0"/>
        <bgColor rgb="FF008080"/>
      </patternFill>
    </fill>
    <fill>
      <patternFill patternType="solid">
        <fgColor rgb="FF7030A0"/>
        <bgColor rgb="FF5B3A87"/>
      </patternFill>
    </fill>
    <fill>
      <patternFill patternType="solid">
        <fgColor rgb="FF843C0C"/>
        <bgColor rgb="FF9C4A0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7F7F7F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B3A87"/>
          <bgColor rgb="FF000000"/>
        </patternFill>
      </fill>
    </dxf>
    <dxf>
      <fill>
        <patternFill patternType="solid">
          <fgColor rgb="FF8B1E2B"/>
          <bgColor rgb="FF000000"/>
        </patternFill>
      </fill>
    </dxf>
    <dxf>
      <fill>
        <patternFill patternType="solid">
          <fgColor rgb="FF9C4A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C00000"/>
      <rgbColor rgb="FF008000"/>
      <rgbColor rgb="FF000080"/>
      <rgbColor rgb="FF9C4A0C"/>
      <rgbColor rgb="FF800080"/>
      <rgbColor rgb="FF1F4E79"/>
      <rgbColor rgb="FFD0D0D0"/>
      <rgbColor rgb="FF7F7F7F"/>
      <rgbColor rgb="FFAAAAAA"/>
      <rgbColor rgb="FF8B1E2B"/>
      <rgbColor rgb="FFE2EFDA"/>
      <rgbColor rgb="FFDDEBF7"/>
      <rgbColor rgb="FF660066"/>
      <rgbColor rgb="FFF8D7DA"/>
      <rgbColor rgb="FF0070C0"/>
      <rgbColor rgb="FFBDD7EE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E4DFEC"/>
      <rgbColor rgb="FFC6EFCE"/>
      <rgbColor rgb="FFFFE699"/>
      <rgbColor rgb="FFC6E0B4"/>
      <rgbColor rgb="FFF4B6B6"/>
      <rgbColor rgb="FFFFC7CE"/>
      <rgbColor rgb="FFF8CBAD"/>
      <rgbColor rgb="FF3366FF"/>
      <rgbColor rgb="FF33CCCC"/>
      <rgbColor rgb="FF99CC00"/>
      <rgbColor rgb="FFFFC000"/>
      <rgbColor rgb="FFFF9900"/>
      <rgbColor rgb="FFED7D31"/>
      <rgbColor rgb="FF666666"/>
      <rgbColor rgb="FF888888"/>
      <rgbColor rgb="FF1F3A5F"/>
      <rgbColor rgb="FF00B050"/>
      <rgbColor rgb="FF003300"/>
      <rgbColor rgb="FF333300"/>
      <rgbColor rgb="FF843C0C"/>
      <rgbColor rgb="FF7030A0"/>
      <rgbColor rgb="FF5B3A8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6" t="s">
        <v>10</v>
      </c>
    </row>
    <row r="15" customFormat="false" ht="15" hidden="false" customHeight="false" outlineLevel="0" collapsed="false">
      <c r="B15" s="7" t="s">
        <v>11</v>
      </c>
    </row>
    <row r="16" customFormat="false" ht="15" hidden="false" customHeight="false" outlineLevel="0" collapsed="false">
      <c r="B16" s="8" t="s">
        <v>12</v>
      </c>
    </row>
    <row r="17" customFormat="false" ht="15" hidden="false" customHeight="false" outlineLevel="0" collapsed="false">
      <c r="B17" s="9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10" t="s">
        <v>15</v>
      </c>
    </row>
    <row r="21" customFormat="false" ht="15" hidden="false" customHeight="false" outlineLevel="0" collapsed="false">
      <c r="B21" s="11" t="s">
        <v>16</v>
      </c>
    </row>
    <row r="22" customFormat="false" ht="15" hidden="false" customHeight="false" outlineLevel="0" collapsed="false">
      <c r="B22" s="12" t="s">
        <v>17</v>
      </c>
    </row>
    <row r="23" customFormat="false" ht="15" hidden="false" customHeight="false" outlineLevel="0" collapsed="false">
      <c r="B23" s="13" t="s">
        <v>18</v>
      </c>
    </row>
    <row r="24" customFormat="false" ht="15" hidden="false" customHeight="false" outlineLevel="0" collapsed="false">
      <c r="B24" s="14" t="s">
        <v>19</v>
      </c>
    </row>
    <row r="25" customFormat="false" ht="15" hidden="false" customHeight="false" outlineLevel="0" collapsed="false">
      <c r="B25" s="15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4" t="s">
        <v>31</v>
      </c>
    </row>
    <row r="39" customFormat="false" ht="15" hidden="false" customHeight="false" outlineLevel="0" collapsed="false">
      <c r="B39" s="3" t="s">
        <v>32</v>
      </c>
    </row>
    <row r="40" customFormat="false" ht="15" hidden="false" customHeight="false" outlineLevel="0" collapsed="false">
      <c r="B40" s="4" t="s">
        <v>33</v>
      </c>
    </row>
    <row r="41" customFormat="false" ht="15" hidden="false" customHeight="false" outlineLevel="0" collapsed="false">
      <c r="B41" s="4" t="s">
        <v>34</v>
      </c>
    </row>
    <row r="42" customFormat="false" ht="15" hidden="false" customHeight="false" outlineLevel="0" collapsed="false">
      <c r="B42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52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6" t="s">
        <v>36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H1" s="16" t="s">
        <v>43</v>
      </c>
    </row>
    <row r="2" customFormat="false" ht="15" hidden="false" customHeight="false" outlineLevel="0" collapsed="false">
      <c r="A2" s="5" t="s">
        <v>44</v>
      </c>
      <c r="B2" s="17"/>
      <c r="C2" s="17"/>
      <c r="D2" s="17"/>
      <c r="E2" s="17"/>
      <c r="F2" s="17"/>
      <c r="G2" s="17"/>
      <c r="H2" s="17"/>
    </row>
    <row r="3" customFormat="false" ht="23.85" hidden="false" customHeight="false" outlineLevel="0" collapsed="false">
      <c r="A3" s="18" t="s">
        <v>45</v>
      </c>
      <c r="B3" s="19" t="s">
        <v>46</v>
      </c>
      <c r="C3" s="20" t="s">
        <v>47</v>
      </c>
      <c r="D3" s="20" t="s">
        <v>48</v>
      </c>
      <c r="E3" s="20" t="s">
        <v>49</v>
      </c>
      <c r="F3" s="20" t="s">
        <v>50</v>
      </c>
      <c r="G3" s="21" t="s">
        <v>51</v>
      </c>
      <c r="H3" s="18"/>
    </row>
    <row r="4" customFormat="false" ht="15" hidden="false" customHeight="false" outlineLevel="0" collapsed="false">
      <c r="A4" s="18" t="s">
        <v>45</v>
      </c>
      <c r="B4" s="19" t="s">
        <v>52</v>
      </c>
      <c r="C4" s="20" t="s">
        <v>53</v>
      </c>
      <c r="D4" s="20" t="s">
        <v>54</v>
      </c>
      <c r="E4" s="20" t="s">
        <v>55</v>
      </c>
      <c r="F4" s="20" t="s">
        <v>56</v>
      </c>
      <c r="G4" s="18" t="s">
        <v>57</v>
      </c>
      <c r="H4" s="18"/>
    </row>
    <row r="5" customFormat="false" ht="23.85" hidden="false" customHeight="false" outlineLevel="0" collapsed="false">
      <c r="A5" s="18" t="s">
        <v>45</v>
      </c>
      <c r="B5" s="19" t="s">
        <v>58</v>
      </c>
      <c r="C5" s="20" t="s">
        <v>59</v>
      </c>
      <c r="D5" s="20" t="s">
        <v>60</v>
      </c>
      <c r="E5" s="20" t="s">
        <v>61</v>
      </c>
      <c r="F5" s="20" t="s">
        <v>62</v>
      </c>
      <c r="G5" s="18" t="s">
        <v>57</v>
      </c>
      <c r="H5" s="18"/>
    </row>
    <row r="6" customFormat="false" ht="15" hidden="false" customHeight="false" outlineLevel="0" collapsed="false">
      <c r="A6" s="18" t="s">
        <v>45</v>
      </c>
      <c r="B6" s="19" t="s">
        <v>63</v>
      </c>
      <c r="C6" s="20" t="s">
        <v>64</v>
      </c>
      <c r="D6" s="20" t="s">
        <v>65</v>
      </c>
      <c r="E6" s="20" t="s">
        <v>66</v>
      </c>
      <c r="F6" s="20" t="s">
        <v>67</v>
      </c>
      <c r="G6" s="18" t="s">
        <v>57</v>
      </c>
      <c r="H6" s="18"/>
    </row>
    <row r="7" customFormat="false" ht="15" hidden="false" customHeight="false" outlineLevel="0" collapsed="false">
      <c r="A7" s="18" t="s">
        <v>45</v>
      </c>
      <c r="B7" s="19" t="s">
        <v>68</v>
      </c>
      <c r="C7" s="20" t="s">
        <v>69</v>
      </c>
      <c r="D7" s="20" t="s">
        <v>70</v>
      </c>
      <c r="E7" s="20" t="s">
        <v>71</v>
      </c>
      <c r="F7" s="20" t="s">
        <v>72</v>
      </c>
      <c r="G7" s="18" t="s">
        <v>57</v>
      </c>
      <c r="H7" s="18"/>
    </row>
    <row r="8" customFormat="false" ht="23.85" hidden="false" customHeight="false" outlineLevel="0" collapsed="false">
      <c r="A8" s="18" t="s">
        <v>45</v>
      </c>
      <c r="B8" s="19" t="s">
        <v>73</v>
      </c>
      <c r="C8" s="20" t="s">
        <v>74</v>
      </c>
      <c r="D8" s="20" t="s">
        <v>75</v>
      </c>
      <c r="E8" s="20" t="s">
        <v>61</v>
      </c>
      <c r="F8" s="20" t="s">
        <v>62</v>
      </c>
      <c r="G8" s="18" t="s">
        <v>57</v>
      </c>
      <c r="H8" s="18"/>
    </row>
    <row r="9" customFormat="false" ht="15" hidden="false" customHeight="false" outlineLevel="0" collapsed="false">
      <c r="A9" s="18" t="s">
        <v>45</v>
      </c>
      <c r="B9" s="19" t="s">
        <v>76</v>
      </c>
      <c r="C9" s="20" t="s">
        <v>77</v>
      </c>
      <c r="D9" s="20" t="s">
        <v>78</v>
      </c>
      <c r="E9" s="20" t="s">
        <v>79</v>
      </c>
      <c r="F9" s="20" t="s">
        <v>80</v>
      </c>
      <c r="G9" s="18" t="s">
        <v>57</v>
      </c>
      <c r="H9" s="18"/>
    </row>
    <row r="10" customFormat="false" ht="23.85" hidden="false" customHeight="false" outlineLevel="0" collapsed="false">
      <c r="A10" s="18" t="s">
        <v>45</v>
      </c>
      <c r="B10" s="19" t="s">
        <v>81</v>
      </c>
      <c r="C10" s="20" t="s">
        <v>82</v>
      </c>
      <c r="D10" s="20" t="s">
        <v>83</v>
      </c>
      <c r="E10" s="20" t="s">
        <v>61</v>
      </c>
      <c r="F10" s="20" t="s">
        <v>62</v>
      </c>
      <c r="G10" s="18" t="s">
        <v>57</v>
      </c>
      <c r="H10" s="18"/>
    </row>
    <row r="11" customFormat="false" ht="23.85" hidden="false" customHeight="false" outlineLevel="0" collapsed="false">
      <c r="A11" s="18" t="s">
        <v>45</v>
      </c>
      <c r="B11" s="19" t="s">
        <v>84</v>
      </c>
      <c r="C11" s="20" t="s">
        <v>85</v>
      </c>
      <c r="D11" s="20" t="s">
        <v>86</v>
      </c>
      <c r="E11" s="20" t="s">
        <v>61</v>
      </c>
      <c r="F11" s="20" t="s">
        <v>62</v>
      </c>
      <c r="G11" s="18" t="s">
        <v>57</v>
      </c>
      <c r="H11" s="18"/>
    </row>
    <row r="12" customFormat="false" ht="15" hidden="false" customHeight="false" outlineLevel="0" collapsed="false">
      <c r="A12" s="18" t="s">
        <v>45</v>
      </c>
      <c r="B12" s="19" t="s">
        <v>87</v>
      </c>
      <c r="C12" s="20" t="s">
        <v>88</v>
      </c>
      <c r="D12" s="20" t="s">
        <v>89</v>
      </c>
      <c r="E12" s="20" t="s">
        <v>71</v>
      </c>
      <c r="F12" s="20" t="s">
        <v>72</v>
      </c>
      <c r="G12" s="18" t="s">
        <v>57</v>
      </c>
      <c r="H12" s="18"/>
    </row>
    <row r="13" customFormat="false" ht="23.85" hidden="false" customHeight="false" outlineLevel="0" collapsed="false">
      <c r="A13" s="18" t="s">
        <v>45</v>
      </c>
      <c r="B13" s="19" t="s">
        <v>90</v>
      </c>
      <c r="C13" s="20" t="s">
        <v>82</v>
      </c>
      <c r="D13" s="20" t="s">
        <v>91</v>
      </c>
      <c r="E13" s="20" t="s">
        <v>61</v>
      </c>
      <c r="F13" s="20" t="s">
        <v>62</v>
      </c>
      <c r="G13" s="18" t="s">
        <v>57</v>
      </c>
      <c r="H13" s="18"/>
    </row>
    <row r="14" customFormat="false" ht="15" hidden="false" customHeight="false" outlineLevel="0" collapsed="false">
      <c r="A14" s="18" t="s">
        <v>45</v>
      </c>
      <c r="B14" s="19" t="s">
        <v>92</v>
      </c>
      <c r="C14" s="20" t="s">
        <v>93</v>
      </c>
      <c r="D14" s="20" t="s">
        <v>94</v>
      </c>
      <c r="E14" s="20" t="s">
        <v>71</v>
      </c>
      <c r="F14" s="20" t="s">
        <v>72</v>
      </c>
      <c r="G14" s="18" t="s">
        <v>57</v>
      </c>
      <c r="H14" s="18"/>
    </row>
    <row r="15" customFormat="false" ht="15" hidden="false" customHeight="false" outlineLevel="0" collapsed="false">
      <c r="A15" s="6" t="s">
        <v>95</v>
      </c>
      <c r="B15" s="22"/>
      <c r="C15" s="22"/>
      <c r="D15" s="22"/>
      <c r="E15" s="22"/>
      <c r="F15" s="22"/>
      <c r="G15" s="22"/>
      <c r="H15" s="22"/>
    </row>
    <row r="16" customFormat="false" ht="23.85" hidden="false" customHeight="false" outlineLevel="0" collapsed="false">
      <c r="A16" s="18" t="s">
        <v>96</v>
      </c>
      <c r="B16" s="19" t="s">
        <v>97</v>
      </c>
      <c r="C16" s="20" t="s">
        <v>98</v>
      </c>
      <c r="D16" s="20" t="s">
        <v>99</v>
      </c>
      <c r="E16" s="20" t="s">
        <v>61</v>
      </c>
      <c r="F16" s="20" t="s">
        <v>62</v>
      </c>
      <c r="G16" s="18" t="s">
        <v>57</v>
      </c>
      <c r="H16" s="18"/>
    </row>
    <row r="17" customFormat="false" ht="23.85" hidden="false" customHeight="false" outlineLevel="0" collapsed="false">
      <c r="A17" s="18" t="s">
        <v>96</v>
      </c>
      <c r="B17" s="19" t="s">
        <v>100</v>
      </c>
      <c r="C17" s="20" t="s">
        <v>98</v>
      </c>
      <c r="D17" s="20" t="s">
        <v>101</v>
      </c>
      <c r="E17" s="20" t="s">
        <v>61</v>
      </c>
      <c r="F17" s="20" t="s">
        <v>62</v>
      </c>
      <c r="G17" s="18" t="s">
        <v>57</v>
      </c>
      <c r="H17" s="18"/>
    </row>
    <row r="18" customFormat="false" ht="15" hidden="false" customHeight="false" outlineLevel="0" collapsed="false">
      <c r="A18" s="18" t="s">
        <v>96</v>
      </c>
      <c r="B18" s="19" t="s">
        <v>102</v>
      </c>
      <c r="C18" s="20" t="s">
        <v>103</v>
      </c>
      <c r="D18" s="20" t="s">
        <v>104</v>
      </c>
      <c r="E18" s="20" t="s">
        <v>105</v>
      </c>
      <c r="F18" s="20" t="s">
        <v>106</v>
      </c>
      <c r="G18" s="18" t="s">
        <v>57</v>
      </c>
      <c r="H18" s="18"/>
    </row>
    <row r="19" customFormat="false" ht="15" hidden="false" customHeight="false" outlineLevel="0" collapsed="false">
      <c r="A19" s="18" t="s">
        <v>96</v>
      </c>
      <c r="B19" s="19" t="s">
        <v>76</v>
      </c>
      <c r="C19" s="20" t="s">
        <v>107</v>
      </c>
      <c r="D19" s="20" t="s">
        <v>108</v>
      </c>
      <c r="E19" s="20" t="s">
        <v>109</v>
      </c>
      <c r="F19" s="20" t="s">
        <v>80</v>
      </c>
      <c r="G19" s="18" t="s">
        <v>57</v>
      </c>
      <c r="H19" s="18"/>
    </row>
    <row r="20" customFormat="false" ht="15" hidden="false" customHeight="false" outlineLevel="0" collapsed="false">
      <c r="A20" s="18" t="s">
        <v>96</v>
      </c>
      <c r="B20" s="19" t="s">
        <v>76</v>
      </c>
      <c r="C20" s="20" t="s">
        <v>110</v>
      </c>
      <c r="D20" s="20" t="s">
        <v>111</v>
      </c>
      <c r="E20" s="20" t="s">
        <v>112</v>
      </c>
      <c r="F20" s="20" t="s">
        <v>80</v>
      </c>
      <c r="G20" s="18" t="s">
        <v>57</v>
      </c>
      <c r="H20" s="18"/>
    </row>
    <row r="21" customFormat="false" ht="15" hidden="false" customHeight="false" outlineLevel="0" collapsed="false">
      <c r="A21" s="18" t="s">
        <v>96</v>
      </c>
      <c r="B21" s="19" t="s">
        <v>113</v>
      </c>
      <c r="C21" s="20" t="s">
        <v>93</v>
      </c>
      <c r="D21" s="20" t="s">
        <v>114</v>
      </c>
      <c r="E21" s="20" t="s">
        <v>71</v>
      </c>
      <c r="F21" s="20" t="s">
        <v>72</v>
      </c>
      <c r="G21" s="18" t="s">
        <v>57</v>
      </c>
      <c r="H21" s="18"/>
    </row>
    <row r="22" customFormat="false" ht="15" hidden="false" customHeight="false" outlineLevel="0" collapsed="false">
      <c r="A22" s="7" t="s">
        <v>115</v>
      </c>
      <c r="B22" s="23"/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18" t="s">
        <v>116</v>
      </c>
      <c r="B23" s="19" t="s">
        <v>117</v>
      </c>
      <c r="C23" s="20" t="s">
        <v>118</v>
      </c>
      <c r="D23" s="20" t="s">
        <v>119</v>
      </c>
      <c r="E23" s="20" t="s">
        <v>120</v>
      </c>
      <c r="F23" s="20" t="s">
        <v>121</v>
      </c>
      <c r="G23" s="18" t="s">
        <v>57</v>
      </c>
      <c r="H23" s="18"/>
    </row>
    <row r="24" customFormat="false" ht="15" hidden="false" customHeight="false" outlineLevel="0" collapsed="false">
      <c r="A24" s="18" t="s">
        <v>116</v>
      </c>
      <c r="B24" s="19" t="s">
        <v>122</v>
      </c>
      <c r="C24" s="20" t="s">
        <v>123</v>
      </c>
      <c r="D24" s="20" t="s">
        <v>124</v>
      </c>
      <c r="E24" s="20" t="s">
        <v>105</v>
      </c>
      <c r="F24" s="20" t="s">
        <v>106</v>
      </c>
      <c r="G24" s="18" t="s">
        <v>57</v>
      </c>
      <c r="H24" s="18"/>
    </row>
    <row r="25" customFormat="false" ht="15" hidden="false" customHeight="false" outlineLevel="0" collapsed="false">
      <c r="A25" s="18" t="s">
        <v>116</v>
      </c>
      <c r="B25" s="19" t="s">
        <v>125</v>
      </c>
      <c r="C25" s="20" t="s">
        <v>126</v>
      </c>
      <c r="D25" s="20" t="s">
        <v>127</v>
      </c>
      <c r="E25" s="20" t="s">
        <v>120</v>
      </c>
      <c r="F25" s="20" t="s">
        <v>128</v>
      </c>
      <c r="G25" s="18" t="s">
        <v>57</v>
      </c>
      <c r="H25" s="18"/>
    </row>
    <row r="26" customFormat="false" ht="15" hidden="false" customHeight="false" outlineLevel="0" collapsed="false">
      <c r="A26" s="18" t="s">
        <v>116</v>
      </c>
      <c r="B26" s="19" t="s">
        <v>129</v>
      </c>
      <c r="C26" s="20" t="s">
        <v>130</v>
      </c>
      <c r="D26" s="20" t="s">
        <v>131</v>
      </c>
      <c r="E26" s="20" t="s">
        <v>61</v>
      </c>
      <c r="F26" s="20" t="s">
        <v>50</v>
      </c>
      <c r="G26" s="21" t="s">
        <v>51</v>
      </c>
      <c r="H26" s="18"/>
    </row>
    <row r="27" customFormat="false" ht="15" hidden="false" customHeight="false" outlineLevel="0" collapsed="false">
      <c r="A27" s="18" t="s">
        <v>116</v>
      </c>
      <c r="B27" s="19" t="s">
        <v>132</v>
      </c>
      <c r="C27" s="20" t="s">
        <v>130</v>
      </c>
      <c r="D27" s="20" t="s">
        <v>131</v>
      </c>
      <c r="E27" s="20" t="s">
        <v>61</v>
      </c>
      <c r="F27" s="20" t="s">
        <v>50</v>
      </c>
      <c r="G27" s="21" t="s">
        <v>51</v>
      </c>
      <c r="H27" s="18"/>
    </row>
    <row r="28" customFormat="false" ht="15" hidden="false" customHeight="false" outlineLevel="0" collapsed="false">
      <c r="A28" s="18" t="s">
        <v>116</v>
      </c>
      <c r="B28" s="19" t="s">
        <v>133</v>
      </c>
      <c r="C28" s="20" t="s">
        <v>130</v>
      </c>
      <c r="D28" s="20" t="s">
        <v>131</v>
      </c>
      <c r="E28" s="20" t="s">
        <v>61</v>
      </c>
      <c r="F28" s="20" t="s">
        <v>50</v>
      </c>
      <c r="G28" s="21" t="s">
        <v>51</v>
      </c>
      <c r="H28" s="18"/>
    </row>
    <row r="29" customFormat="false" ht="15" hidden="false" customHeight="false" outlineLevel="0" collapsed="false">
      <c r="A29" s="18" t="s">
        <v>116</v>
      </c>
      <c r="B29" s="19" t="s">
        <v>134</v>
      </c>
      <c r="C29" s="20" t="s">
        <v>135</v>
      </c>
      <c r="D29" s="20" t="s">
        <v>136</v>
      </c>
      <c r="E29" s="20" t="s">
        <v>137</v>
      </c>
      <c r="F29" s="20" t="s">
        <v>138</v>
      </c>
      <c r="G29" s="18" t="s">
        <v>57</v>
      </c>
      <c r="H29" s="18"/>
    </row>
    <row r="30" customFormat="false" ht="23.85" hidden="false" customHeight="false" outlineLevel="0" collapsed="false">
      <c r="A30" s="18" t="s">
        <v>116</v>
      </c>
      <c r="B30" s="19" t="s">
        <v>139</v>
      </c>
      <c r="C30" s="20" t="s">
        <v>82</v>
      </c>
      <c r="D30" s="20" t="s">
        <v>140</v>
      </c>
      <c r="E30" s="20" t="s">
        <v>61</v>
      </c>
      <c r="F30" s="20" t="s">
        <v>62</v>
      </c>
      <c r="G30" s="18" t="s">
        <v>57</v>
      </c>
      <c r="H30" s="18"/>
    </row>
    <row r="31" customFormat="false" ht="23.85" hidden="false" customHeight="false" outlineLevel="0" collapsed="false">
      <c r="A31" s="18" t="s">
        <v>116</v>
      </c>
      <c r="B31" s="19" t="s">
        <v>141</v>
      </c>
      <c r="C31" s="20" t="s">
        <v>98</v>
      </c>
      <c r="D31" s="20" t="s">
        <v>142</v>
      </c>
      <c r="E31" s="20" t="s">
        <v>61</v>
      </c>
      <c r="F31" s="20" t="s">
        <v>62</v>
      </c>
      <c r="G31" s="18" t="s">
        <v>57</v>
      </c>
      <c r="H31" s="18"/>
    </row>
    <row r="32" customFormat="false" ht="23.85" hidden="false" customHeight="false" outlineLevel="0" collapsed="false">
      <c r="A32" s="18" t="s">
        <v>116</v>
      </c>
      <c r="B32" s="19" t="s">
        <v>143</v>
      </c>
      <c r="C32" s="20" t="s">
        <v>144</v>
      </c>
      <c r="D32" s="20" t="s">
        <v>145</v>
      </c>
      <c r="E32" s="20" t="s">
        <v>146</v>
      </c>
      <c r="F32" s="20" t="s">
        <v>147</v>
      </c>
      <c r="G32" s="18" t="s">
        <v>57</v>
      </c>
      <c r="H32" s="18"/>
    </row>
    <row r="33" customFormat="false" ht="15" hidden="false" customHeight="false" outlineLevel="0" collapsed="false">
      <c r="A33" s="8" t="s">
        <v>148</v>
      </c>
      <c r="B33" s="24"/>
      <c r="C33" s="24"/>
      <c r="D33" s="24"/>
      <c r="E33" s="24"/>
      <c r="F33" s="24"/>
      <c r="G33" s="24"/>
      <c r="H33" s="24"/>
    </row>
    <row r="34" customFormat="false" ht="15" hidden="false" customHeight="false" outlineLevel="0" collapsed="false">
      <c r="A34" s="18" t="s">
        <v>149</v>
      </c>
      <c r="B34" s="19" t="s">
        <v>150</v>
      </c>
      <c r="C34" s="20" t="s">
        <v>53</v>
      </c>
      <c r="D34" s="20" t="s">
        <v>151</v>
      </c>
      <c r="E34" s="20" t="s">
        <v>55</v>
      </c>
      <c r="F34" s="20" t="s">
        <v>56</v>
      </c>
      <c r="G34" s="18" t="s">
        <v>57</v>
      </c>
      <c r="H34" s="18"/>
    </row>
    <row r="35" customFormat="false" ht="15" hidden="false" customHeight="false" outlineLevel="0" collapsed="false">
      <c r="A35" s="18" t="s">
        <v>149</v>
      </c>
      <c r="B35" s="19" t="s">
        <v>152</v>
      </c>
      <c r="C35" s="20" t="s">
        <v>153</v>
      </c>
      <c r="D35" s="20" t="s">
        <v>154</v>
      </c>
      <c r="E35" s="20" t="s">
        <v>155</v>
      </c>
      <c r="F35" s="20" t="s">
        <v>50</v>
      </c>
      <c r="G35" s="21" t="s">
        <v>51</v>
      </c>
      <c r="H35" s="18"/>
    </row>
    <row r="36" customFormat="false" ht="23.85" hidden="false" customHeight="false" outlineLevel="0" collapsed="false">
      <c r="A36" s="18" t="s">
        <v>149</v>
      </c>
      <c r="B36" s="19" t="s">
        <v>156</v>
      </c>
      <c r="C36" s="20" t="s">
        <v>98</v>
      </c>
      <c r="D36" s="20" t="s">
        <v>157</v>
      </c>
      <c r="E36" s="20" t="s">
        <v>61</v>
      </c>
      <c r="F36" s="20" t="s">
        <v>62</v>
      </c>
      <c r="G36" s="18" t="s">
        <v>57</v>
      </c>
      <c r="H36" s="18"/>
    </row>
    <row r="37" customFormat="false" ht="15" hidden="false" customHeight="false" outlineLevel="0" collapsed="false">
      <c r="A37" s="18" t="s">
        <v>149</v>
      </c>
      <c r="B37" s="19" t="s">
        <v>158</v>
      </c>
      <c r="C37" s="20" t="s">
        <v>93</v>
      </c>
      <c r="D37" s="20" t="s">
        <v>159</v>
      </c>
      <c r="E37" s="20" t="s">
        <v>71</v>
      </c>
      <c r="F37" s="20" t="s">
        <v>72</v>
      </c>
      <c r="G37" s="18" t="s">
        <v>57</v>
      </c>
      <c r="H37" s="18"/>
    </row>
    <row r="38" customFormat="false" ht="15" hidden="false" customHeight="false" outlineLevel="0" collapsed="false">
      <c r="A38" s="18" t="s">
        <v>149</v>
      </c>
      <c r="B38" s="19" t="s">
        <v>160</v>
      </c>
      <c r="C38" s="20" t="s">
        <v>153</v>
      </c>
      <c r="D38" s="20" t="s">
        <v>161</v>
      </c>
      <c r="E38" s="20" t="s">
        <v>155</v>
      </c>
      <c r="F38" s="20" t="s">
        <v>50</v>
      </c>
      <c r="G38" s="21" t="s">
        <v>51</v>
      </c>
      <c r="H38" s="18"/>
    </row>
    <row r="39" customFormat="false" ht="23.85" hidden="false" customHeight="false" outlineLevel="0" collapsed="false">
      <c r="A39" s="18" t="s">
        <v>149</v>
      </c>
      <c r="B39" s="19" t="s">
        <v>162</v>
      </c>
      <c r="C39" s="20" t="s">
        <v>98</v>
      </c>
      <c r="D39" s="20" t="s">
        <v>163</v>
      </c>
      <c r="E39" s="20" t="s">
        <v>61</v>
      </c>
      <c r="F39" s="20" t="s">
        <v>62</v>
      </c>
      <c r="G39" s="18" t="s">
        <v>57</v>
      </c>
      <c r="H39" s="18"/>
    </row>
    <row r="40" customFormat="false" ht="15" hidden="false" customHeight="false" outlineLevel="0" collapsed="false">
      <c r="A40" s="18" t="s">
        <v>149</v>
      </c>
      <c r="B40" s="19" t="s">
        <v>164</v>
      </c>
      <c r="C40" s="20" t="s">
        <v>93</v>
      </c>
      <c r="D40" s="20" t="s">
        <v>165</v>
      </c>
      <c r="E40" s="20" t="s">
        <v>71</v>
      </c>
      <c r="F40" s="20" t="s">
        <v>72</v>
      </c>
      <c r="G40" s="18" t="s">
        <v>57</v>
      </c>
      <c r="H40" s="18"/>
    </row>
    <row r="41" customFormat="false" ht="15" hidden="false" customHeight="false" outlineLevel="0" collapsed="false">
      <c r="A41" s="18" t="s">
        <v>149</v>
      </c>
      <c r="B41" s="19" t="s">
        <v>166</v>
      </c>
      <c r="C41" s="20" t="s">
        <v>167</v>
      </c>
      <c r="D41" s="20" t="s">
        <v>168</v>
      </c>
      <c r="E41" s="20" t="s">
        <v>66</v>
      </c>
      <c r="F41" s="20" t="s">
        <v>67</v>
      </c>
      <c r="G41" s="18" t="s">
        <v>57</v>
      </c>
      <c r="H41" s="18"/>
    </row>
    <row r="42" customFormat="false" ht="15" hidden="false" customHeight="false" outlineLevel="0" collapsed="false">
      <c r="A42" s="18" t="s">
        <v>149</v>
      </c>
      <c r="B42" s="19" t="s">
        <v>169</v>
      </c>
      <c r="C42" s="20" t="s">
        <v>170</v>
      </c>
      <c r="D42" s="20" t="s">
        <v>171</v>
      </c>
      <c r="E42" s="20" t="s">
        <v>172</v>
      </c>
      <c r="F42" s="20" t="s">
        <v>80</v>
      </c>
      <c r="G42" s="18" t="s">
        <v>57</v>
      </c>
      <c r="H42" s="18"/>
    </row>
    <row r="43" customFormat="false" ht="15" hidden="false" customHeight="false" outlineLevel="0" collapsed="false">
      <c r="A43" s="18" t="s">
        <v>149</v>
      </c>
      <c r="B43" s="19" t="s">
        <v>169</v>
      </c>
      <c r="C43" s="20" t="s">
        <v>173</v>
      </c>
      <c r="D43" s="20" t="s">
        <v>174</v>
      </c>
      <c r="E43" s="20" t="s">
        <v>175</v>
      </c>
      <c r="F43" s="20" t="s">
        <v>80</v>
      </c>
      <c r="G43" s="18" t="s">
        <v>57</v>
      </c>
      <c r="H43" s="18"/>
    </row>
    <row r="44" customFormat="false" ht="15" hidden="false" customHeight="false" outlineLevel="0" collapsed="false">
      <c r="A44" s="18" t="s">
        <v>149</v>
      </c>
      <c r="B44" s="19" t="s">
        <v>169</v>
      </c>
      <c r="C44" s="20" t="s">
        <v>176</v>
      </c>
      <c r="D44" s="20" t="s">
        <v>177</v>
      </c>
      <c r="E44" s="20" t="s">
        <v>178</v>
      </c>
      <c r="F44" s="20" t="s">
        <v>80</v>
      </c>
      <c r="G44" s="18" t="s">
        <v>57</v>
      </c>
      <c r="H44" s="18"/>
    </row>
    <row r="45" customFormat="false" ht="15" hidden="false" customHeight="false" outlineLevel="0" collapsed="false">
      <c r="A45" s="18" t="s">
        <v>149</v>
      </c>
      <c r="B45" s="19" t="s">
        <v>179</v>
      </c>
      <c r="C45" s="20" t="s">
        <v>93</v>
      </c>
      <c r="D45" s="20" t="s">
        <v>180</v>
      </c>
      <c r="E45" s="20" t="s">
        <v>71</v>
      </c>
      <c r="F45" s="20" t="s">
        <v>72</v>
      </c>
      <c r="G45" s="18" t="s">
        <v>57</v>
      </c>
      <c r="H45" s="18"/>
    </row>
    <row r="46" customFormat="false" ht="15" hidden="false" customHeight="false" outlineLevel="0" collapsed="false">
      <c r="A46" s="9" t="s">
        <v>181</v>
      </c>
      <c r="B46" s="25"/>
      <c r="C46" s="25"/>
      <c r="D46" s="25"/>
      <c r="E46" s="25"/>
      <c r="F46" s="25"/>
      <c r="G46" s="25"/>
      <c r="H46" s="25"/>
    </row>
    <row r="47" customFormat="false" ht="15" hidden="false" customHeight="false" outlineLevel="0" collapsed="false">
      <c r="A47" s="18" t="s">
        <v>182</v>
      </c>
      <c r="B47" s="19" t="s">
        <v>183</v>
      </c>
      <c r="C47" s="20" t="s">
        <v>184</v>
      </c>
      <c r="D47" s="20" t="s">
        <v>185</v>
      </c>
      <c r="E47" s="20" t="s">
        <v>186</v>
      </c>
      <c r="F47" s="20" t="s">
        <v>187</v>
      </c>
      <c r="G47" s="18" t="s">
        <v>57</v>
      </c>
      <c r="H47" s="18"/>
    </row>
    <row r="48" customFormat="false" ht="15" hidden="false" customHeight="false" outlineLevel="0" collapsed="false">
      <c r="A48" s="18" t="s">
        <v>182</v>
      </c>
      <c r="B48" s="19" t="s">
        <v>188</v>
      </c>
      <c r="C48" s="20" t="s">
        <v>103</v>
      </c>
      <c r="D48" s="20" t="s">
        <v>189</v>
      </c>
      <c r="E48" s="20" t="s">
        <v>105</v>
      </c>
      <c r="F48" s="20" t="s">
        <v>106</v>
      </c>
      <c r="G48" s="18" t="s">
        <v>57</v>
      </c>
      <c r="H48" s="18"/>
    </row>
    <row r="49" customFormat="false" ht="15" hidden="false" customHeight="false" outlineLevel="0" collapsed="false">
      <c r="A49" s="18" t="s">
        <v>182</v>
      </c>
      <c r="B49" s="19" t="s">
        <v>190</v>
      </c>
      <c r="C49" s="20" t="s">
        <v>191</v>
      </c>
      <c r="D49" s="20" t="s">
        <v>192</v>
      </c>
      <c r="E49" s="20" t="s">
        <v>193</v>
      </c>
      <c r="F49" s="20" t="s">
        <v>194</v>
      </c>
      <c r="G49" s="18" t="s">
        <v>57</v>
      </c>
      <c r="H49" s="18"/>
    </row>
    <row r="50" customFormat="false" ht="15" hidden="false" customHeight="false" outlineLevel="0" collapsed="false">
      <c r="A50" s="18" t="s">
        <v>182</v>
      </c>
      <c r="B50" s="19" t="s">
        <v>195</v>
      </c>
      <c r="C50" s="20" t="s">
        <v>53</v>
      </c>
      <c r="D50" s="20" t="s">
        <v>196</v>
      </c>
      <c r="E50" s="20" t="s">
        <v>55</v>
      </c>
      <c r="F50" s="20" t="s">
        <v>56</v>
      </c>
      <c r="G50" s="18" t="s">
        <v>57</v>
      </c>
      <c r="H50" s="18"/>
    </row>
    <row r="51" customFormat="false" ht="23.85" hidden="false" customHeight="false" outlineLevel="0" collapsed="false">
      <c r="A51" s="18" t="s">
        <v>182</v>
      </c>
      <c r="B51" s="19" t="s">
        <v>197</v>
      </c>
      <c r="C51" s="20" t="s">
        <v>191</v>
      </c>
      <c r="D51" s="20" t="s">
        <v>198</v>
      </c>
      <c r="E51" s="20" t="s">
        <v>193</v>
      </c>
      <c r="F51" s="20" t="s">
        <v>194</v>
      </c>
      <c r="G51" s="18" t="s">
        <v>57</v>
      </c>
      <c r="H51" s="18"/>
    </row>
    <row r="52" customFormat="false" ht="15" hidden="false" customHeight="false" outlineLevel="0" collapsed="false">
      <c r="A52" s="18" t="s">
        <v>182</v>
      </c>
      <c r="B52" s="19" t="s">
        <v>199</v>
      </c>
      <c r="C52" s="20" t="s">
        <v>53</v>
      </c>
      <c r="D52" s="20" t="s">
        <v>200</v>
      </c>
      <c r="E52" s="20" t="s">
        <v>55</v>
      </c>
      <c r="F52" s="20" t="s">
        <v>56</v>
      </c>
      <c r="G52" s="18" t="s">
        <v>57</v>
      </c>
      <c r="H52" s="18"/>
    </row>
  </sheetData>
  <conditionalFormatting sqref="A2:H52">
    <cfRule type="expression" priority="2" aboveAverage="0" equalAverage="0" bottom="0" percent="0" rank="0" text="" dxfId="0">
      <formula>$H2="✓"</formula>
    </cfRule>
  </conditionalFormatting>
  <dataValidations count="1">
    <dataValidation allowBlank="true" errorStyle="stop" operator="between" showDropDown="false" showErrorMessage="false" showInputMessage="false" sqref="H3:H14 H16:H21 H23:H32 H34:H45 H47:H52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3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26" t="s">
        <v>201</v>
      </c>
    </row>
    <row r="2" customFormat="false" ht="15" hidden="false" customHeight="false" outlineLevel="0" collapsed="false">
      <c r="A2" s="27" t="str">
        <f aca="false">"Progress: "&amp;COUNTIF(I5:I125,"✓")&amp;" of 116 pins drawn"</f>
        <v>Progress: 0 of 116 pins drawn</v>
      </c>
      <c r="E2" s="28" t="n">
        <f aca="false">COUNTIF(I5:I125,"✓")/116</f>
        <v>0</v>
      </c>
    </row>
    <row r="4" customFormat="false" ht="15" hidden="false" customHeight="false" outlineLevel="0" collapsed="false">
      <c r="A4" s="16" t="s">
        <v>36</v>
      </c>
      <c r="B4" s="16" t="s">
        <v>37</v>
      </c>
      <c r="C4" s="16" t="s">
        <v>202</v>
      </c>
      <c r="D4" s="16" t="s">
        <v>203</v>
      </c>
      <c r="E4" s="16" t="s">
        <v>204</v>
      </c>
      <c r="F4" s="16" t="s">
        <v>205</v>
      </c>
      <c r="G4" s="16" t="s">
        <v>206</v>
      </c>
      <c r="H4" s="16" t="s">
        <v>207</v>
      </c>
      <c r="I4" s="16" t="s">
        <v>208</v>
      </c>
    </row>
    <row r="5" customFormat="false" ht="19.5" hidden="false" customHeight="true" outlineLevel="0" collapsed="false">
      <c r="A5" s="29" t="s">
        <v>44</v>
      </c>
      <c r="B5" s="17"/>
      <c r="C5" s="17"/>
      <c r="D5" s="17"/>
      <c r="E5" s="17"/>
      <c r="F5" s="17"/>
      <c r="G5" s="17"/>
      <c r="H5" s="17"/>
      <c r="I5" s="17"/>
    </row>
    <row r="6" customFormat="false" ht="15" hidden="false" customHeight="false" outlineLevel="0" collapsed="false">
      <c r="A6" s="30" t="s">
        <v>45</v>
      </c>
      <c r="B6" s="31" t="s">
        <v>46</v>
      </c>
      <c r="C6" s="32" t="s">
        <v>47</v>
      </c>
      <c r="D6" s="30" t="s">
        <v>45</v>
      </c>
      <c r="E6" s="30" t="s">
        <v>209</v>
      </c>
      <c r="F6" s="33" t="s">
        <v>210</v>
      </c>
      <c r="G6" s="32" t="s">
        <v>211</v>
      </c>
      <c r="H6" s="32" t="s">
        <v>212</v>
      </c>
      <c r="I6" s="30"/>
    </row>
    <row r="7" customFormat="false" ht="15" hidden="false" customHeight="false" outlineLevel="0" collapsed="false">
      <c r="A7" s="18" t="s">
        <v>45</v>
      </c>
      <c r="B7" s="34" t="s">
        <v>46</v>
      </c>
      <c r="C7" s="35" t="s">
        <v>47</v>
      </c>
      <c r="D7" s="18" t="s">
        <v>213</v>
      </c>
      <c r="E7" s="18" t="s">
        <v>214</v>
      </c>
      <c r="F7" s="36" t="s">
        <v>215</v>
      </c>
      <c r="G7" s="20" t="s">
        <v>216</v>
      </c>
      <c r="H7" s="20" t="s">
        <v>217</v>
      </c>
      <c r="I7" s="18"/>
    </row>
    <row r="8" customFormat="false" ht="15" hidden="false" customHeight="false" outlineLevel="0" collapsed="false">
      <c r="A8" s="18" t="s">
        <v>45</v>
      </c>
      <c r="B8" s="34" t="s">
        <v>46</v>
      </c>
      <c r="C8" s="35" t="s">
        <v>47</v>
      </c>
      <c r="D8" s="18" t="s">
        <v>116</v>
      </c>
      <c r="E8" s="18" t="s">
        <v>218</v>
      </c>
      <c r="F8" s="37" t="s">
        <v>219</v>
      </c>
      <c r="G8" s="20" t="s">
        <v>220</v>
      </c>
      <c r="H8" s="20" t="s">
        <v>221</v>
      </c>
      <c r="I8" s="18"/>
    </row>
    <row r="9" customFormat="false" ht="15" hidden="false" customHeight="false" outlineLevel="0" collapsed="false">
      <c r="A9" s="18" t="s">
        <v>45</v>
      </c>
      <c r="B9" s="34" t="s">
        <v>46</v>
      </c>
      <c r="C9" s="35" t="s">
        <v>47</v>
      </c>
      <c r="D9" s="18" t="s">
        <v>182</v>
      </c>
      <c r="E9" s="18" t="s">
        <v>222</v>
      </c>
      <c r="F9" s="38" t="s">
        <v>223</v>
      </c>
      <c r="G9" s="20" t="s">
        <v>224</v>
      </c>
      <c r="H9" s="20" t="s">
        <v>225</v>
      </c>
      <c r="I9" s="18"/>
    </row>
    <row r="10" customFormat="false" ht="15" hidden="false" customHeight="false" outlineLevel="0" collapsed="false">
      <c r="A10" s="30" t="s">
        <v>45</v>
      </c>
      <c r="B10" s="31" t="s">
        <v>52</v>
      </c>
      <c r="C10" s="32" t="s">
        <v>53</v>
      </c>
      <c r="D10" s="30" t="s">
        <v>226</v>
      </c>
      <c r="E10" s="30" t="s">
        <v>227</v>
      </c>
      <c r="F10" s="33" t="s">
        <v>210</v>
      </c>
      <c r="G10" s="32" t="s">
        <v>228</v>
      </c>
      <c r="H10" s="32" t="s">
        <v>212</v>
      </c>
      <c r="I10" s="30"/>
    </row>
    <row r="11" customFormat="false" ht="15" hidden="false" customHeight="false" outlineLevel="0" collapsed="false">
      <c r="A11" s="18" t="s">
        <v>45</v>
      </c>
      <c r="B11" s="34" t="s">
        <v>52</v>
      </c>
      <c r="C11" s="35" t="s">
        <v>53</v>
      </c>
      <c r="D11" s="18" t="s">
        <v>229</v>
      </c>
      <c r="E11" s="18" t="s">
        <v>230</v>
      </c>
      <c r="F11" s="36" t="s">
        <v>215</v>
      </c>
      <c r="G11" s="20" t="s">
        <v>216</v>
      </c>
      <c r="H11" s="20" t="s">
        <v>217</v>
      </c>
      <c r="I11" s="18"/>
    </row>
    <row r="12" customFormat="false" ht="15" hidden="false" customHeight="false" outlineLevel="0" collapsed="false">
      <c r="A12" s="18" t="s">
        <v>45</v>
      </c>
      <c r="B12" s="34" t="s">
        <v>52</v>
      </c>
      <c r="C12" s="35" t="s">
        <v>53</v>
      </c>
      <c r="D12" s="18" t="s">
        <v>231</v>
      </c>
      <c r="E12" s="18" t="s">
        <v>232</v>
      </c>
      <c r="F12" s="37" t="s">
        <v>219</v>
      </c>
      <c r="G12" s="20" t="s">
        <v>220</v>
      </c>
      <c r="H12" s="20" t="s">
        <v>221</v>
      </c>
      <c r="I12" s="18"/>
    </row>
    <row r="13" customFormat="false" ht="15" hidden="false" customHeight="false" outlineLevel="0" collapsed="false">
      <c r="A13" s="18" t="s">
        <v>45</v>
      </c>
      <c r="B13" s="34" t="s">
        <v>52</v>
      </c>
      <c r="C13" s="35" t="s">
        <v>53</v>
      </c>
      <c r="D13" s="18" t="s">
        <v>233</v>
      </c>
      <c r="E13" s="18" t="s">
        <v>234</v>
      </c>
      <c r="F13" s="38" t="s">
        <v>223</v>
      </c>
      <c r="G13" s="20" t="s">
        <v>235</v>
      </c>
      <c r="H13" s="20" t="s">
        <v>225</v>
      </c>
      <c r="I13" s="18"/>
    </row>
    <row r="14" customFormat="false" ht="15" hidden="false" customHeight="false" outlineLevel="0" collapsed="false">
      <c r="A14" s="30" t="s">
        <v>45</v>
      </c>
      <c r="B14" s="31" t="s">
        <v>58</v>
      </c>
      <c r="C14" s="32" t="s">
        <v>59</v>
      </c>
      <c r="D14" s="30" t="s">
        <v>226</v>
      </c>
      <c r="E14" s="30" t="s">
        <v>236</v>
      </c>
      <c r="F14" s="39" t="s">
        <v>237</v>
      </c>
      <c r="G14" s="32" t="s">
        <v>238</v>
      </c>
      <c r="H14" s="32" t="s">
        <v>239</v>
      </c>
      <c r="I14" s="30"/>
    </row>
    <row r="15" customFormat="false" ht="15" hidden="false" customHeight="false" outlineLevel="0" collapsed="false">
      <c r="A15" s="18" t="s">
        <v>45</v>
      </c>
      <c r="B15" s="34" t="s">
        <v>58</v>
      </c>
      <c r="C15" s="35" t="s">
        <v>59</v>
      </c>
      <c r="D15" s="18" t="s">
        <v>229</v>
      </c>
      <c r="E15" s="18" t="s">
        <v>236</v>
      </c>
      <c r="F15" s="38" t="s">
        <v>210</v>
      </c>
      <c r="G15" s="20" t="s">
        <v>240</v>
      </c>
      <c r="H15" s="20" t="s">
        <v>212</v>
      </c>
      <c r="I15" s="18"/>
    </row>
    <row r="16" customFormat="false" ht="15" hidden="false" customHeight="false" outlineLevel="0" collapsed="false">
      <c r="A16" s="30" t="s">
        <v>45</v>
      </c>
      <c r="B16" s="31" t="s">
        <v>63</v>
      </c>
      <c r="C16" s="32" t="s">
        <v>64</v>
      </c>
      <c r="D16" s="30" t="s">
        <v>226</v>
      </c>
      <c r="E16" s="30" t="s">
        <v>226</v>
      </c>
      <c r="F16" s="33" t="s">
        <v>223</v>
      </c>
      <c r="G16" s="32" t="s">
        <v>241</v>
      </c>
      <c r="H16" s="32" t="s">
        <v>225</v>
      </c>
      <c r="I16" s="30"/>
    </row>
    <row r="17" customFormat="false" ht="15" hidden="false" customHeight="false" outlineLevel="0" collapsed="false">
      <c r="A17" s="18" t="s">
        <v>45</v>
      </c>
      <c r="B17" s="34" t="s">
        <v>63</v>
      </c>
      <c r="C17" s="35" t="s">
        <v>64</v>
      </c>
      <c r="D17" s="18" t="s">
        <v>229</v>
      </c>
      <c r="E17" s="18" t="s">
        <v>242</v>
      </c>
      <c r="F17" s="36" t="s">
        <v>215</v>
      </c>
      <c r="G17" s="20" t="s">
        <v>216</v>
      </c>
      <c r="H17" s="20" t="s">
        <v>217</v>
      </c>
      <c r="I17" s="18"/>
    </row>
    <row r="18" customFormat="false" ht="15" hidden="false" customHeight="false" outlineLevel="0" collapsed="false">
      <c r="A18" s="18" t="s">
        <v>45</v>
      </c>
      <c r="B18" s="34" t="s">
        <v>63</v>
      </c>
      <c r="C18" s="35" t="s">
        <v>64</v>
      </c>
      <c r="D18" s="18" t="s">
        <v>231</v>
      </c>
      <c r="E18" s="18" t="s">
        <v>231</v>
      </c>
      <c r="F18" s="36" t="s">
        <v>215</v>
      </c>
      <c r="G18" s="20" t="s">
        <v>216</v>
      </c>
      <c r="H18" s="20" t="s">
        <v>217</v>
      </c>
      <c r="I18" s="18"/>
    </row>
    <row r="19" customFormat="false" ht="15" hidden="false" customHeight="false" outlineLevel="0" collapsed="false">
      <c r="A19" s="30" t="s">
        <v>45</v>
      </c>
      <c r="B19" s="31" t="s">
        <v>68</v>
      </c>
      <c r="C19" s="32" t="s">
        <v>69</v>
      </c>
      <c r="D19" s="30" t="s">
        <v>226</v>
      </c>
      <c r="E19" s="30" t="s">
        <v>236</v>
      </c>
      <c r="F19" s="33" t="s">
        <v>223</v>
      </c>
      <c r="G19" s="32" t="s">
        <v>243</v>
      </c>
      <c r="H19" s="32" t="s">
        <v>225</v>
      </c>
      <c r="I19" s="30"/>
    </row>
    <row r="20" customFormat="false" ht="15" hidden="false" customHeight="false" outlineLevel="0" collapsed="false">
      <c r="A20" s="18" t="s">
        <v>45</v>
      </c>
      <c r="B20" s="34" t="s">
        <v>68</v>
      </c>
      <c r="C20" s="35" t="s">
        <v>69</v>
      </c>
      <c r="D20" s="18" t="s">
        <v>229</v>
      </c>
      <c r="E20" s="18" t="s">
        <v>236</v>
      </c>
      <c r="F20" s="38" t="s">
        <v>244</v>
      </c>
      <c r="G20" s="20" t="s">
        <v>245</v>
      </c>
      <c r="H20" s="20" t="s">
        <v>246</v>
      </c>
      <c r="I20" s="18"/>
    </row>
    <row r="21" customFormat="false" ht="15" hidden="false" customHeight="false" outlineLevel="0" collapsed="false">
      <c r="A21" s="30" t="s">
        <v>45</v>
      </c>
      <c r="B21" s="31" t="s">
        <v>73</v>
      </c>
      <c r="C21" s="32" t="s">
        <v>74</v>
      </c>
      <c r="D21" s="30" t="s">
        <v>226</v>
      </c>
      <c r="E21" s="30" t="s">
        <v>236</v>
      </c>
      <c r="F21" s="33" t="s">
        <v>244</v>
      </c>
      <c r="G21" s="32" t="s">
        <v>247</v>
      </c>
      <c r="H21" s="32" t="s">
        <v>246</v>
      </c>
      <c r="I21" s="30"/>
    </row>
    <row r="22" customFormat="false" ht="15" hidden="false" customHeight="false" outlineLevel="0" collapsed="false">
      <c r="A22" s="18" t="s">
        <v>45</v>
      </c>
      <c r="B22" s="34" t="s">
        <v>73</v>
      </c>
      <c r="C22" s="35" t="s">
        <v>74</v>
      </c>
      <c r="D22" s="18" t="s">
        <v>229</v>
      </c>
      <c r="E22" s="18" t="s">
        <v>236</v>
      </c>
      <c r="F22" s="38" t="s">
        <v>248</v>
      </c>
      <c r="G22" s="20" t="s">
        <v>249</v>
      </c>
      <c r="H22" s="20" t="s">
        <v>250</v>
      </c>
      <c r="I22" s="18"/>
    </row>
    <row r="23" customFormat="false" ht="15" hidden="false" customHeight="false" outlineLevel="0" collapsed="false">
      <c r="A23" s="30" t="s">
        <v>45</v>
      </c>
      <c r="B23" s="31" t="s">
        <v>76</v>
      </c>
      <c r="C23" s="32" t="s">
        <v>77</v>
      </c>
      <c r="D23" s="30" t="s">
        <v>231</v>
      </c>
      <c r="E23" s="30" t="s">
        <v>251</v>
      </c>
      <c r="F23" s="33" t="s">
        <v>244</v>
      </c>
      <c r="G23" s="32" t="s">
        <v>252</v>
      </c>
      <c r="H23" s="32" t="s">
        <v>246</v>
      </c>
      <c r="I23" s="30"/>
    </row>
    <row r="24" customFormat="false" ht="15" hidden="false" customHeight="false" outlineLevel="0" collapsed="false">
      <c r="A24" s="18" t="s">
        <v>45</v>
      </c>
      <c r="B24" s="34" t="s">
        <v>76</v>
      </c>
      <c r="C24" s="35" t="s">
        <v>77</v>
      </c>
      <c r="D24" s="18" t="s">
        <v>229</v>
      </c>
      <c r="E24" s="18" t="s">
        <v>253</v>
      </c>
      <c r="F24" s="38" t="s">
        <v>254</v>
      </c>
      <c r="G24" s="20" t="s">
        <v>255</v>
      </c>
      <c r="H24" s="20" t="s">
        <v>256</v>
      </c>
      <c r="I24" s="18"/>
    </row>
    <row r="25" customFormat="false" ht="15" hidden="false" customHeight="false" outlineLevel="0" collapsed="false">
      <c r="A25" s="18" t="s">
        <v>45</v>
      </c>
      <c r="B25" s="34" t="s">
        <v>76</v>
      </c>
      <c r="C25" s="35" t="s">
        <v>77</v>
      </c>
      <c r="D25" s="18" t="s">
        <v>226</v>
      </c>
      <c r="E25" s="18" t="s">
        <v>257</v>
      </c>
      <c r="F25" s="38" t="s">
        <v>258</v>
      </c>
      <c r="G25" s="20" t="s">
        <v>259</v>
      </c>
      <c r="H25" s="20" t="s">
        <v>260</v>
      </c>
      <c r="I25" s="18"/>
    </row>
    <row r="26" customFormat="false" ht="15" hidden="false" customHeight="false" outlineLevel="0" collapsed="false">
      <c r="A26" s="30" t="s">
        <v>45</v>
      </c>
      <c r="B26" s="31" t="s">
        <v>81</v>
      </c>
      <c r="C26" s="32" t="s">
        <v>82</v>
      </c>
      <c r="D26" s="30" t="s">
        <v>226</v>
      </c>
      <c r="E26" s="30" t="s">
        <v>236</v>
      </c>
      <c r="F26" s="33" t="s">
        <v>254</v>
      </c>
      <c r="G26" s="32" t="s">
        <v>261</v>
      </c>
      <c r="H26" s="32" t="s">
        <v>256</v>
      </c>
      <c r="I26" s="30"/>
    </row>
    <row r="27" customFormat="false" ht="15" hidden="false" customHeight="false" outlineLevel="0" collapsed="false">
      <c r="A27" s="18" t="s">
        <v>45</v>
      </c>
      <c r="B27" s="34" t="s">
        <v>81</v>
      </c>
      <c r="C27" s="35" t="s">
        <v>82</v>
      </c>
      <c r="D27" s="18" t="s">
        <v>229</v>
      </c>
      <c r="E27" s="18" t="s">
        <v>236</v>
      </c>
      <c r="F27" s="38" t="s">
        <v>248</v>
      </c>
      <c r="G27" s="20" t="s">
        <v>262</v>
      </c>
      <c r="H27" s="20" t="s">
        <v>250</v>
      </c>
      <c r="I27" s="18"/>
    </row>
    <row r="28" customFormat="false" ht="15" hidden="false" customHeight="false" outlineLevel="0" collapsed="false">
      <c r="A28" s="30" t="s">
        <v>45</v>
      </c>
      <c r="B28" s="31" t="s">
        <v>84</v>
      </c>
      <c r="C28" s="32" t="s">
        <v>85</v>
      </c>
      <c r="D28" s="30" t="s">
        <v>226</v>
      </c>
      <c r="E28" s="30" t="s">
        <v>236</v>
      </c>
      <c r="F28" s="33" t="s">
        <v>254</v>
      </c>
      <c r="G28" s="32" t="s">
        <v>263</v>
      </c>
      <c r="H28" s="32" t="s">
        <v>256</v>
      </c>
      <c r="I28" s="30"/>
    </row>
    <row r="29" customFormat="false" ht="15" hidden="false" customHeight="false" outlineLevel="0" collapsed="false">
      <c r="A29" s="18" t="s">
        <v>45</v>
      </c>
      <c r="B29" s="34" t="s">
        <v>84</v>
      </c>
      <c r="C29" s="35" t="s">
        <v>85</v>
      </c>
      <c r="D29" s="18" t="s">
        <v>229</v>
      </c>
      <c r="E29" s="18" t="s">
        <v>236</v>
      </c>
      <c r="F29" s="38" t="s">
        <v>258</v>
      </c>
      <c r="G29" s="20" t="s">
        <v>264</v>
      </c>
      <c r="H29" s="20" t="s">
        <v>260</v>
      </c>
      <c r="I29" s="18"/>
    </row>
    <row r="30" customFormat="false" ht="15" hidden="false" customHeight="false" outlineLevel="0" collapsed="false">
      <c r="A30" s="30" t="s">
        <v>45</v>
      </c>
      <c r="B30" s="31" t="s">
        <v>87</v>
      </c>
      <c r="C30" s="32" t="s">
        <v>88</v>
      </c>
      <c r="D30" s="30" t="s">
        <v>226</v>
      </c>
      <c r="E30" s="30" t="s">
        <v>236</v>
      </c>
      <c r="F30" s="33" t="s">
        <v>254</v>
      </c>
      <c r="G30" s="32" t="s">
        <v>265</v>
      </c>
      <c r="H30" s="32" t="s">
        <v>256</v>
      </c>
      <c r="I30" s="30"/>
    </row>
    <row r="31" customFormat="false" ht="15" hidden="false" customHeight="false" outlineLevel="0" collapsed="false">
      <c r="A31" s="18" t="s">
        <v>45</v>
      </c>
      <c r="B31" s="34" t="s">
        <v>87</v>
      </c>
      <c r="C31" s="35" t="s">
        <v>88</v>
      </c>
      <c r="D31" s="18" t="s">
        <v>229</v>
      </c>
      <c r="E31" s="18" t="s">
        <v>236</v>
      </c>
      <c r="F31" s="38" t="s">
        <v>258</v>
      </c>
      <c r="G31" s="20" t="s">
        <v>266</v>
      </c>
      <c r="H31" s="20" t="s">
        <v>260</v>
      </c>
      <c r="I31" s="18"/>
    </row>
    <row r="32" customFormat="false" ht="15" hidden="false" customHeight="false" outlineLevel="0" collapsed="false">
      <c r="A32" s="30" t="s">
        <v>45</v>
      </c>
      <c r="B32" s="31" t="s">
        <v>90</v>
      </c>
      <c r="C32" s="32" t="s">
        <v>82</v>
      </c>
      <c r="D32" s="30" t="s">
        <v>226</v>
      </c>
      <c r="E32" s="30" t="s">
        <v>236</v>
      </c>
      <c r="F32" s="33" t="s">
        <v>258</v>
      </c>
      <c r="G32" s="32" t="s">
        <v>267</v>
      </c>
      <c r="H32" s="32" t="s">
        <v>260</v>
      </c>
      <c r="I32" s="30"/>
    </row>
    <row r="33" customFormat="false" ht="15" hidden="false" customHeight="false" outlineLevel="0" collapsed="false">
      <c r="A33" s="18" t="s">
        <v>45</v>
      </c>
      <c r="B33" s="34" t="s">
        <v>90</v>
      </c>
      <c r="C33" s="35" t="s">
        <v>82</v>
      </c>
      <c r="D33" s="18" t="s">
        <v>229</v>
      </c>
      <c r="E33" s="18" t="s">
        <v>236</v>
      </c>
      <c r="F33" s="38" t="s">
        <v>268</v>
      </c>
      <c r="G33" s="20" t="s">
        <v>269</v>
      </c>
      <c r="H33" s="20" t="s">
        <v>270</v>
      </c>
      <c r="I33" s="18"/>
    </row>
    <row r="34" customFormat="false" ht="15" hidden="false" customHeight="false" outlineLevel="0" collapsed="false">
      <c r="A34" s="30" t="s">
        <v>45</v>
      </c>
      <c r="B34" s="31" t="s">
        <v>92</v>
      </c>
      <c r="C34" s="32" t="s">
        <v>93</v>
      </c>
      <c r="D34" s="30" t="s">
        <v>226</v>
      </c>
      <c r="E34" s="30" t="s">
        <v>236</v>
      </c>
      <c r="F34" s="33" t="s">
        <v>268</v>
      </c>
      <c r="G34" s="32" t="s">
        <v>271</v>
      </c>
      <c r="H34" s="32" t="s">
        <v>270</v>
      </c>
      <c r="I34" s="30"/>
    </row>
    <row r="35" customFormat="false" ht="15" hidden="false" customHeight="false" outlineLevel="0" collapsed="false">
      <c r="A35" s="18" t="s">
        <v>45</v>
      </c>
      <c r="B35" s="34" t="s">
        <v>92</v>
      </c>
      <c r="C35" s="35" t="s">
        <v>93</v>
      </c>
      <c r="D35" s="18" t="s">
        <v>229</v>
      </c>
      <c r="E35" s="18" t="s">
        <v>236</v>
      </c>
      <c r="F35" s="36" t="s">
        <v>215</v>
      </c>
      <c r="G35" s="20" t="s">
        <v>216</v>
      </c>
      <c r="H35" s="20" t="s">
        <v>217</v>
      </c>
      <c r="I35" s="18"/>
    </row>
    <row r="36" customFormat="false" ht="19.5" hidden="false" customHeight="true" outlineLevel="0" collapsed="false">
      <c r="A36" s="40" t="s">
        <v>95</v>
      </c>
      <c r="B36" s="22"/>
      <c r="C36" s="22"/>
      <c r="D36" s="22"/>
      <c r="E36" s="22"/>
      <c r="F36" s="22"/>
      <c r="G36" s="22"/>
      <c r="H36" s="22"/>
      <c r="I36" s="22"/>
    </row>
    <row r="37" customFormat="false" ht="15" hidden="false" customHeight="false" outlineLevel="0" collapsed="false">
      <c r="A37" s="30" t="s">
        <v>96</v>
      </c>
      <c r="B37" s="31" t="s">
        <v>97</v>
      </c>
      <c r="C37" s="32" t="s">
        <v>98</v>
      </c>
      <c r="D37" s="30" t="s">
        <v>226</v>
      </c>
      <c r="E37" s="30" t="s">
        <v>236</v>
      </c>
      <c r="F37" s="39" t="s">
        <v>219</v>
      </c>
      <c r="G37" s="32" t="s">
        <v>220</v>
      </c>
      <c r="H37" s="32" t="s">
        <v>221</v>
      </c>
      <c r="I37" s="30"/>
    </row>
    <row r="38" customFormat="false" ht="15" hidden="false" customHeight="false" outlineLevel="0" collapsed="false">
      <c r="A38" s="18" t="s">
        <v>96</v>
      </c>
      <c r="B38" s="34" t="s">
        <v>97</v>
      </c>
      <c r="C38" s="35" t="s">
        <v>98</v>
      </c>
      <c r="D38" s="18" t="s">
        <v>229</v>
      </c>
      <c r="E38" s="18" t="s">
        <v>236</v>
      </c>
      <c r="F38" s="38" t="s">
        <v>272</v>
      </c>
      <c r="G38" s="20" t="s">
        <v>273</v>
      </c>
      <c r="H38" s="20" t="s">
        <v>274</v>
      </c>
      <c r="I38" s="18"/>
    </row>
    <row r="39" customFormat="false" ht="15" hidden="false" customHeight="false" outlineLevel="0" collapsed="false">
      <c r="A39" s="30" t="s">
        <v>96</v>
      </c>
      <c r="B39" s="31" t="s">
        <v>100</v>
      </c>
      <c r="C39" s="32" t="s">
        <v>98</v>
      </c>
      <c r="D39" s="30" t="s">
        <v>226</v>
      </c>
      <c r="E39" s="30" t="s">
        <v>236</v>
      </c>
      <c r="F39" s="33" t="s">
        <v>272</v>
      </c>
      <c r="G39" s="32" t="s">
        <v>275</v>
      </c>
      <c r="H39" s="32" t="s">
        <v>274</v>
      </c>
      <c r="I39" s="30"/>
    </row>
    <row r="40" customFormat="false" ht="15" hidden="false" customHeight="false" outlineLevel="0" collapsed="false">
      <c r="A40" s="18" t="s">
        <v>96</v>
      </c>
      <c r="B40" s="34" t="s">
        <v>100</v>
      </c>
      <c r="C40" s="35" t="s">
        <v>98</v>
      </c>
      <c r="D40" s="18" t="s">
        <v>229</v>
      </c>
      <c r="E40" s="18" t="s">
        <v>236</v>
      </c>
      <c r="F40" s="36" t="s">
        <v>215</v>
      </c>
      <c r="G40" s="20" t="s">
        <v>216</v>
      </c>
      <c r="H40" s="20" t="s">
        <v>217</v>
      </c>
      <c r="I40" s="18"/>
    </row>
    <row r="41" customFormat="false" ht="15" hidden="false" customHeight="false" outlineLevel="0" collapsed="false">
      <c r="A41" s="30" t="s">
        <v>96</v>
      </c>
      <c r="B41" s="31" t="s">
        <v>102</v>
      </c>
      <c r="C41" s="32" t="s">
        <v>103</v>
      </c>
      <c r="D41" s="30" t="s">
        <v>226</v>
      </c>
      <c r="E41" s="30" t="s">
        <v>251</v>
      </c>
      <c r="F41" s="33" t="s">
        <v>272</v>
      </c>
      <c r="G41" s="32" t="s">
        <v>276</v>
      </c>
      <c r="H41" s="32" t="s">
        <v>274</v>
      </c>
      <c r="I41" s="30"/>
    </row>
    <row r="42" customFormat="false" ht="15" hidden="false" customHeight="false" outlineLevel="0" collapsed="false">
      <c r="A42" s="18" t="s">
        <v>96</v>
      </c>
      <c r="B42" s="34" t="s">
        <v>102</v>
      </c>
      <c r="C42" s="35" t="s">
        <v>103</v>
      </c>
      <c r="D42" s="18" t="s">
        <v>229</v>
      </c>
      <c r="E42" s="18" t="s">
        <v>253</v>
      </c>
      <c r="F42" s="36" t="s">
        <v>215</v>
      </c>
      <c r="G42" s="20" t="s">
        <v>216</v>
      </c>
      <c r="H42" s="20" t="s">
        <v>217</v>
      </c>
      <c r="I42" s="18"/>
    </row>
    <row r="43" customFormat="false" ht="15" hidden="false" customHeight="false" outlineLevel="0" collapsed="false">
      <c r="A43" s="30" t="s">
        <v>96</v>
      </c>
      <c r="B43" s="31" t="s">
        <v>76</v>
      </c>
      <c r="C43" s="32" t="s">
        <v>107</v>
      </c>
      <c r="D43" s="30" t="s">
        <v>277</v>
      </c>
      <c r="E43" s="30" t="s">
        <v>251</v>
      </c>
      <c r="F43" s="33" t="s">
        <v>272</v>
      </c>
      <c r="G43" s="32" t="s">
        <v>278</v>
      </c>
      <c r="H43" s="32" t="s">
        <v>274</v>
      </c>
      <c r="I43" s="30"/>
    </row>
    <row r="44" customFormat="false" ht="15" hidden="false" customHeight="false" outlineLevel="0" collapsed="false">
      <c r="A44" s="18" t="s">
        <v>96</v>
      </c>
      <c r="B44" s="34" t="s">
        <v>76</v>
      </c>
      <c r="C44" s="35" t="s">
        <v>107</v>
      </c>
      <c r="D44" s="18" t="s">
        <v>279</v>
      </c>
      <c r="E44" s="18" t="s">
        <v>253</v>
      </c>
      <c r="F44" s="38" t="s">
        <v>248</v>
      </c>
      <c r="G44" s="20" t="s">
        <v>280</v>
      </c>
      <c r="H44" s="20" t="s">
        <v>250</v>
      </c>
      <c r="I44" s="18"/>
    </row>
    <row r="45" customFormat="false" ht="15" hidden="false" customHeight="false" outlineLevel="0" collapsed="false">
      <c r="A45" s="18" t="s">
        <v>96</v>
      </c>
      <c r="B45" s="34" t="s">
        <v>76</v>
      </c>
      <c r="C45" s="35" t="s">
        <v>107</v>
      </c>
      <c r="D45" s="18" t="s">
        <v>281</v>
      </c>
      <c r="E45" s="18" t="s">
        <v>257</v>
      </c>
      <c r="F45" s="38" t="s">
        <v>248</v>
      </c>
      <c r="G45" s="20" t="s">
        <v>282</v>
      </c>
      <c r="H45" s="20" t="s">
        <v>250</v>
      </c>
      <c r="I45" s="18"/>
    </row>
    <row r="46" customFormat="false" ht="15" hidden="false" customHeight="false" outlineLevel="0" collapsed="false">
      <c r="A46" s="30" t="s">
        <v>96</v>
      </c>
      <c r="B46" s="31" t="s">
        <v>76</v>
      </c>
      <c r="C46" s="32" t="s">
        <v>110</v>
      </c>
      <c r="D46" s="30" t="s">
        <v>283</v>
      </c>
      <c r="E46" s="30" t="s">
        <v>284</v>
      </c>
      <c r="F46" s="39" t="s">
        <v>219</v>
      </c>
      <c r="G46" s="32" t="s">
        <v>220</v>
      </c>
      <c r="H46" s="32" t="s">
        <v>221</v>
      </c>
      <c r="I46" s="30"/>
    </row>
    <row r="47" customFormat="false" ht="15" hidden="false" customHeight="false" outlineLevel="0" collapsed="false">
      <c r="A47" s="18" t="s">
        <v>96</v>
      </c>
      <c r="B47" s="34" t="s">
        <v>76</v>
      </c>
      <c r="C47" s="35" t="s">
        <v>110</v>
      </c>
      <c r="D47" s="18" t="s">
        <v>233</v>
      </c>
      <c r="E47" s="18" t="s">
        <v>285</v>
      </c>
      <c r="F47" s="36" t="s">
        <v>215</v>
      </c>
      <c r="G47" s="20" t="s">
        <v>216</v>
      </c>
      <c r="H47" s="20" t="s">
        <v>217</v>
      </c>
      <c r="I47" s="18"/>
    </row>
    <row r="48" customFormat="false" ht="15" hidden="false" customHeight="false" outlineLevel="0" collapsed="false">
      <c r="A48" s="30" t="s">
        <v>96</v>
      </c>
      <c r="B48" s="31" t="s">
        <v>113</v>
      </c>
      <c r="C48" s="32" t="s">
        <v>93</v>
      </c>
      <c r="D48" s="30" t="s">
        <v>226</v>
      </c>
      <c r="E48" s="30" t="s">
        <v>236</v>
      </c>
      <c r="F48" s="39" t="s">
        <v>219</v>
      </c>
      <c r="G48" s="32" t="s">
        <v>220</v>
      </c>
      <c r="H48" s="32" t="s">
        <v>221</v>
      </c>
      <c r="I48" s="30"/>
    </row>
    <row r="49" customFormat="false" ht="15" hidden="false" customHeight="false" outlineLevel="0" collapsed="false">
      <c r="A49" s="18" t="s">
        <v>96</v>
      </c>
      <c r="B49" s="34" t="s">
        <v>113</v>
      </c>
      <c r="C49" s="35" t="s">
        <v>93</v>
      </c>
      <c r="D49" s="18" t="s">
        <v>229</v>
      </c>
      <c r="E49" s="18" t="s">
        <v>236</v>
      </c>
      <c r="F49" s="36" t="s">
        <v>215</v>
      </c>
      <c r="G49" s="20" t="s">
        <v>216</v>
      </c>
      <c r="H49" s="20" t="s">
        <v>217</v>
      </c>
      <c r="I49" s="18"/>
    </row>
    <row r="50" customFormat="false" ht="19.5" hidden="false" customHeight="true" outlineLevel="0" collapsed="false">
      <c r="A50" s="41" t="s">
        <v>115</v>
      </c>
      <c r="B50" s="23"/>
      <c r="C50" s="23"/>
      <c r="D50" s="23"/>
      <c r="E50" s="23"/>
      <c r="F50" s="23"/>
      <c r="G50" s="23"/>
      <c r="H50" s="23"/>
      <c r="I50" s="23"/>
    </row>
    <row r="51" customFormat="false" ht="15" hidden="false" customHeight="false" outlineLevel="0" collapsed="false">
      <c r="A51" s="30" t="s">
        <v>116</v>
      </c>
      <c r="B51" s="31" t="s">
        <v>117</v>
      </c>
      <c r="C51" s="32" t="s">
        <v>118</v>
      </c>
      <c r="D51" s="30" t="s">
        <v>226</v>
      </c>
      <c r="E51" s="30" t="s">
        <v>251</v>
      </c>
      <c r="F51" s="39" t="s">
        <v>286</v>
      </c>
      <c r="G51" s="32" t="s">
        <v>287</v>
      </c>
      <c r="H51" s="32" t="s">
        <v>288</v>
      </c>
      <c r="I51" s="30"/>
    </row>
    <row r="52" customFormat="false" ht="15" hidden="false" customHeight="false" outlineLevel="0" collapsed="false">
      <c r="A52" s="18" t="s">
        <v>116</v>
      </c>
      <c r="B52" s="34" t="s">
        <v>117</v>
      </c>
      <c r="C52" s="35" t="s">
        <v>118</v>
      </c>
      <c r="D52" s="18" t="s">
        <v>229</v>
      </c>
      <c r="E52" s="18" t="s">
        <v>253</v>
      </c>
      <c r="F52" s="36" t="s">
        <v>289</v>
      </c>
      <c r="G52" s="20" t="s">
        <v>290</v>
      </c>
      <c r="H52" s="20" t="s">
        <v>291</v>
      </c>
      <c r="I52" s="18"/>
    </row>
    <row r="53" customFormat="false" ht="15" hidden="false" customHeight="false" outlineLevel="0" collapsed="false">
      <c r="A53" s="30" t="s">
        <v>116</v>
      </c>
      <c r="B53" s="31" t="s">
        <v>122</v>
      </c>
      <c r="C53" s="32" t="s">
        <v>123</v>
      </c>
      <c r="D53" s="30" t="s">
        <v>226</v>
      </c>
      <c r="E53" s="30" t="s">
        <v>251</v>
      </c>
      <c r="F53" s="39" t="s">
        <v>286</v>
      </c>
      <c r="G53" s="32" t="s">
        <v>287</v>
      </c>
      <c r="H53" s="32" t="s">
        <v>288</v>
      </c>
      <c r="I53" s="30"/>
    </row>
    <row r="54" customFormat="false" ht="15" hidden="false" customHeight="false" outlineLevel="0" collapsed="false">
      <c r="A54" s="18" t="s">
        <v>116</v>
      </c>
      <c r="B54" s="34" t="s">
        <v>122</v>
      </c>
      <c r="C54" s="35" t="s">
        <v>123</v>
      </c>
      <c r="D54" s="18" t="s">
        <v>229</v>
      </c>
      <c r="E54" s="18" t="s">
        <v>253</v>
      </c>
      <c r="F54" s="36" t="s">
        <v>289</v>
      </c>
      <c r="G54" s="20" t="s">
        <v>290</v>
      </c>
      <c r="H54" s="20" t="s">
        <v>291</v>
      </c>
      <c r="I54" s="18"/>
    </row>
    <row r="55" customFormat="false" ht="15" hidden="false" customHeight="false" outlineLevel="0" collapsed="false">
      <c r="A55" s="30" t="s">
        <v>116</v>
      </c>
      <c r="B55" s="31" t="s">
        <v>125</v>
      </c>
      <c r="C55" s="32" t="s">
        <v>126</v>
      </c>
      <c r="D55" s="30" t="s">
        <v>226</v>
      </c>
      <c r="E55" s="30" t="s">
        <v>227</v>
      </c>
      <c r="F55" s="39" t="s">
        <v>286</v>
      </c>
      <c r="G55" s="32" t="s">
        <v>287</v>
      </c>
      <c r="H55" s="32" t="s">
        <v>288</v>
      </c>
      <c r="I55" s="30"/>
    </row>
    <row r="56" customFormat="false" ht="15" hidden="false" customHeight="false" outlineLevel="0" collapsed="false">
      <c r="A56" s="18" t="s">
        <v>116</v>
      </c>
      <c r="B56" s="34" t="s">
        <v>125</v>
      </c>
      <c r="C56" s="35" t="s">
        <v>126</v>
      </c>
      <c r="D56" s="18" t="s">
        <v>229</v>
      </c>
      <c r="E56" s="18" t="s">
        <v>230</v>
      </c>
      <c r="F56" s="42" t="s">
        <v>292</v>
      </c>
      <c r="G56" s="20" t="s">
        <v>293</v>
      </c>
      <c r="H56" s="20" t="s">
        <v>294</v>
      </c>
      <c r="I56" s="18"/>
    </row>
    <row r="57" customFormat="false" ht="15" hidden="false" customHeight="false" outlineLevel="0" collapsed="false">
      <c r="A57" s="30" t="s">
        <v>116</v>
      </c>
      <c r="B57" s="31" t="s">
        <v>129</v>
      </c>
      <c r="C57" s="32" t="s">
        <v>130</v>
      </c>
      <c r="D57" s="30" t="s">
        <v>226</v>
      </c>
      <c r="E57" s="30" t="s">
        <v>236</v>
      </c>
      <c r="F57" s="39" t="s">
        <v>286</v>
      </c>
      <c r="G57" s="32" t="s">
        <v>287</v>
      </c>
      <c r="H57" s="32" t="s">
        <v>288</v>
      </c>
      <c r="I57" s="30"/>
    </row>
    <row r="58" customFormat="false" ht="15" hidden="false" customHeight="false" outlineLevel="0" collapsed="false">
      <c r="A58" s="18" t="s">
        <v>116</v>
      </c>
      <c r="B58" s="34" t="s">
        <v>129</v>
      </c>
      <c r="C58" s="35" t="s">
        <v>130</v>
      </c>
      <c r="D58" s="18" t="s">
        <v>229</v>
      </c>
      <c r="E58" s="18" t="s">
        <v>236</v>
      </c>
      <c r="F58" s="42" t="s">
        <v>292</v>
      </c>
      <c r="G58" s="20" t="s">
        <v>295</v>
      </c>
      <c r="H58" s="20" t="s">
        <v>294</v>
      </c>
      <c r="I58" s="18"/>
    </row>
    <row r="59" customFormat="false" ht="15" hidden="false" customHeight="false" outlineLevel="0" collapsed="false">
      <c r="A59" s="30" t="s">
        <v>116</v>
      </c>
      <c r="B59" s="31" t="s">
        <v>132</v>
      </c>
      <c r="C59" s="32" t="s">
        <v>130</v>
      </c>
      <c r="D59" s="30" t="s">
        <v>226</v>
      </c>
      <c r="E59" s="30" t="s">
        <v>236</v>
      </c>
      <c r="F59" s="39" t="s">
        <v>286</v>
      </c>
      <c r="G59" s="32" t="s">
        <v>287</v>
      </c>
      <c r="H59" s="32" t="s">
        <v>288</v>
      </c>
      <c r="I59" s="30"/>
    </row>
    <row r="60" customFormat="false" ht="15" hidden="false" customHeight="false" outlineLevel="0" collapsed="false">
      <c r="A60" s="18" t="s">
        <v>116</v>
      </c>
      <c r="B60" s="34" t="s">
        <v>132</v>
      </c>
      <c r="C60" s="35" t="s">
        <v>130</v>
      </c>
      <c r="D60" s="18" t="s">
        <v>229</v>
      </c>
      <c r="E60" s="18" t="s">
        <v>236</v>
      </c>
      <c r="F60" s="42" t="s">
        <v>292</v>
      </c>
      <c r="G60" s="20" t="s">
        <v>296</v>
      </c>
      <c r="H60" s="20" t="s">
        <v>294</v>
      </c>
      <c r="I60" s="18"/>
    </row>
    <row r="61" customFormat="false" ht="15" hidden="false" customHeight="false" outlineLevel="0" collapsed="false">
      <c r="A61" s="30" t="s">
        <v>116</v>
      </c>
      <c r="B61" s="31" t="s">
        <v>133</v>
      </c>
      <c r="C61" s="32" t="s">
        <v>130</v>
      </c>
      <c r="D61" s="30" t="s">
        <v>226</v>
      </c>
      <c r="E61" s="30" t="s">
        <v>236</v>
      </c>
      <c r="F61" s="39" t="s">
        <v>286</v>
      </c>
      <c r="G61" s="32" t="s">
        <v>287</v>
      </c>
      <c r="H61" s="32" t="s">
        <v>288</v>
      </c>
      <c r="I61" s="30"/>
    </row>
    <row r="62" customFormat="false" ht="15" hidden="false" customHeight="false" outlineLevel="0" collapsed="false">
      <c r="A62" s="18" t="s">
        <v>116</v>
      </c>
      <c r="B62" s="34" t="s">
        <v>133</v>
      </c>
      <c r="C62" s="35" t="s">
        <v>130</v>
      </c>
      <c r="D62" s="18" t="s">
        <v>229</v>
      </c>
      <c r="E62" s="18" t="s">
        <v>236</v>
      </c>
      <c r="F62" s="42" t="s">
        <v>292</v>
      </c>
      <c r="G62" s="20" t="s">
        <v>297</v>
      </c>
      <c r="H62" s="20" t="s">
        <v>294</v>
      </c>
      <c r="I62" s="18"/>
    </row>
    <row r="63" customFormat="false" ht="15" hidden="false" customHeight="false" outlineLevel="0" collapsed="false">
      <c r="A63" s="30" t="s">
        <v>116</v>
      </c>
      <c r="B63" s="31" t="s">
        <v>134</v>
      </c>
      <c r="C63" s="32" t="s">
        <v>135</v>
      </c>
      <c r="D63" s="30" t="s">
        <v>226</v>
      </c>
      <c r="E63" s="30" t="s">
        <v>298</v>
      </c>
      <c r="F63" s="43" t="s">
        <v>299</v>
      </c>
      <c r="G63" s="32" t="s">
        <v>300</v>
      </c>
      <c r="H63" s="32" t="s">
        <v>301</v>
      </c>
      <c r="I63" s="30"/>
    </row>
    <row r="64" customFormat="false" ht="15" hidden="false" customHeight="false" outlineLevel="0" collapsed="false">
      <c r="A64" s="18" t="s">
        <v>116</v>
      </c>
      <c r="B64" s="34" t="s">
        <v>134</v>
      </c>
      <c r="C64" s="35" t="s">
        <v>135</v>
      </c>
      <c r="D64" s="18" t="s">
        <v>229</v>
      </c>
      <c r="E64" s="18" t="s">
        <v>149</v>
      </c>
      <c r="F64" s="42" t="s">
        <v>292</v>
      </c>
      <c r="G64" s="20" t="s">
        <v>302</v>
      </c>
      <c r="H64" s="20" t="s">
        <v>294</v>
      </c>
      <c r="I64" s="18"/>
    </row>
    <row r="65" customFormat="false" ht="15" hidden="false" customHeight="false" outlineLevel="0" collapsed="false">
      <c r="A65" s="18" t="s">
        <v>116</v>
      </c>
      <c r="B65" s="34" t="s">
        <v>134</v>
      </c>
      <c r="C65" s="35" t="s">
        <v>135</v>
      </c>
      <c r="D65" s="18" t="s">
        <v>231</v>
      </c>
      <c r="E65" s="18" t="s">
        <v>303</v>
      </c>
      <c r="F65" s="36" t="s">
        <v>289</v>
      </c>
      <c r="G65" s="20" t="s">
        <v>290</v>
      </c>
      <c r="H65" s="20" t="s">
        <v>291</v>
      </c>
      <c r="I65" s="18"/>
    </row>
    <row r="66" customFormat="false" ht="15" hidden="false" customHeight="false" outlineLevel="0" collapsed="false">
      <c r="A66" s="30" t="s">
        <v>116</v>
      </c>
      <c r="B66" s="31" t="s">
        <v>139</v>
      </c>
      <c r="C66" s="32" t="s">
        <v>82</v>
      </c>
      <c r="D66" s="30" t="s">
        <v>226</v>
      </c>
      <c r="E66" s="30" t="s">
        <v>236</v>
      </c>
      <c r="F66" s="43" t="s">
        <v>304</v>
      </c>
      <c r="G66" s="32" t="s">
        <v>305</v>
      </c>
      <c r="H66" s="32" t="s">
        <v>306</v>
      </c>
      <c r="I66" s="30"/>
    </row>
    <row r="67" customFormat="false" ht="15" hidden="false" customHeight="false" outlineLevel="0" collapsed="false">
      <c r="A67" s="18" t="s">
        <v>116</v>
      </c>
      <c r="B67" s="34" t="s">
        <v>139</v>
      </c>
      <c r="C67" s="35" t="s">
        <v>82</v>
      </c>
      <c r="D67" s="18" t="s">
        <v>229</v>
      </c>
      <c r="E67" s="18" t="s">
        <v>236</v>
      </c>
      <c r="F67" s="44" t="s">
        <v>299</v>
      </c>
      <c r="G67" s="20" t="s">
        <v>307</v>
      </c>
      <c r="H67" s="20" t="s">
        <v>301</v>
      </c>
      <c r="I67" s="18"/>
    </row>
    <row r="68" customFormat="false" ht="15" hidden="false" customHeight="false" outlineLevel="0" collapsed="false">
      <c r="A68" s="30" t="s">
        <v>116</v>
      </c>
      <c r="B68" s="31" t="s">
        <v>141</v>
      </c>
      <c r="C68" s="32" t="s">
        <v>98</v>
      </c>
      <c r="D68" s="30" t="s">
        <v>226</v>
      </c>
      <c r="E68" s="30" t="s">
        <v>236</v>
      </c>
      <c r="F68" s="43" t="s">
        <v>299</v>
      </c>
      <c r="G68" s="32" t="s">
        <v>308</v>
      </c>
      <c r="H68" s="32" t="s">
        <v>301</v>
      </c>
      <c r="I68" s="30"/>
    </row>
    <row r="69" customFormat="false" ht="15" hidden="false" customHeight="false" outlineLevel="0" collapsed="false">
      <c r="A69" s="18" t="s">
        <v>116</v>
      </c>
      <c r="B69" s="34" t="s">
        <v>141</v>
      </c>
      <c r="C69" s="35" t="s">
        <v>98</v>
      </c>
      <c r="D69" s="18" t="s">
        <v>229</v>
      </c>
      <c r="E69" s="18" t="s">
        <v>236</v>
      </c>
      <c r="F69" s="36" t="s">
        <v>289</v>
      </c>
      <c r="G69" s="20" t="s">
        <v>290</v>
      </c>
      <c r="H69" s="20" t="s">
        <v>291</v>
      </c>
      <c r="I69" s="18"/>
    </row>
    <row r="70" customFormat="false" ht="15" hidden="false" customHeight="false" outlineLevel="0" collapsed="false">
      <c r="A70" s="30" t="s">
        <v>116</v>
      </c>
      <c r="B70" s="31" t="s">
        <v>143</v>
      </c>
      <c r="C70" s="32" t="s">
        <v>144</v>
      </c>
      <c r="D70" s="30" t="s">
        <v>226</v>
      </c>
      <c r="E70" s="30" t="s">
        <v>226</v>
      </c>
      <c r="F70" s="45" t="s">
        <v>289</v>
      </c>
      <c r="G70" s="32" t="s">
        <v>290</v>
      </c>
      <c r="H70" s="32" t="s">
        <v>291</v>
      </c>
      <c r="I70" s="30"/>
    </row>
    <row r="71" customFormat="false" ht="15" hidden="false" customHeight="false" outlineLevel="0" collapsed="false">
      <c r="A71" s="18" t="s">
        <v>116</v>
      </c>
      <c r="B71" s="34" t="s">
        <v>143</v>
      </c>
      <c r="C71" s="35" t="s">
        <v>144</v>
      </c>
      <c r="D71" s="18" t="s">
        <v>229</v>
      </c>
      <c r="E71" s="18" t="s">
        <v>229</v>
      </c>
      <c r="F71" s="36" t="s">
        <v>215</v>
      </c>
      <c r="G71" s="20" t="s">
        <v>216</v>
      </c>
      <c r="H71" s="20" t="s">
        <v>217</v>
      </c>
      <c r="I71" s="18"/>
    </row>
    <row r="72" customFormat="false" ht="19.5" hidden="false" customHeight="true" outlineLevel="0" collapsed="false">
      <c r="A72" s="46" t="s">
        <v>148</v>
      </c>
      <c r="B72" s="24"/>
      <c r="C72" s="24"/>
      <c r="D72" s="24"/>
      <c r="E72" s="24"/>
      <c r="F72" s="24"/>
      <c r="G72" s="24"/>
      <c r="H72" s="24"/>
      <c r="I72" s="24"/>
    </row>
    <row r="73" customFormat="false" ht="15" hidden="false" customHeight="false" outlineLevel="0" collapsed="false">
      <c r="A73" s="30" t="s">
        <v>149</v>
      </c>
      <c r="B73" s="31" t="s">
        <v>150</v>
      </c>
      <c r="C73" s="32" t="s">
        <v>53</v>
      </c>
      <c r="D73" s="30" t="s">
        <v>226</v>
      </c>
      <c r="E73" s="30" t="s">
        <v>227</v>
      </c>
      <c r="F73" s="33" t="s">
        <v>309</v>
      </c>
      <c r="G73" s="32" t="s">
        <v>310</v>
      </c>
      <c r="H73" s="32" t="s">
        <v>311</v>
      </c>
      <c r="I73" s="30"/>
    </row>
    <row r="74" customFormat="false" ht="15" hidden="false" customHeight="false" outlineLevel="0" collapsed="false">
      <c r="A74" s="18" t="s">
        <v>149</v>
      </c>
      <c r="B74" s="34" t="s">
        <v>150</v>
      </c>
      <c r="C74" s="35" t="s">
        <v>53</v>
      </c>
      <c r="D74" s="18" t="s">
        <v>229</v>
      </c>
      <c r="E74" s="18" t="s">
        <v>230</v>
      </c>
      <c r="F74" s="36" t="s">
        <v>215</v>
      </c>
      <c r="G74" s="20" t="s">
        <v>216</v>
      </c>
      <c r="H74" s="20" t="s">
        <v>217</v>
      </c>
      <c r="I74" s="18"/>
    </row>
    <row r="75" customFormat="false" ht="15" hidden="false" customHeight="false" outlineLevel="0" collapsed="false">
      <c r="A75" s="18" t="s">
        <v>149</v>
      </c>
      <c r="B75" s="34" t="s">
        <v>150</v>
      </c>
      <c r="C75" s="35" t="s">
        <v>53</v>
      </c>
      <c r="D75" s="18" t="s">
        <v>231</v>
      </c>
      <c r="E75" s="18" t="s">
        <v>232</v>
      </c>
      <c r="F75" s="38" t="s">
        <v>312</v>
      </c>
      <c r="G75" s="20" t="s">
        <v>313</v>
      </c>
      <c r="H75" s="20" t="s">
        <v>314</v>
      </c>
      <c r="I75" s="18"/>
    </row>
    <row r="76" customFormat="false" ht="15" hidden="false" customHeight="false" outlineLevel="0" collapsed="false">
      <c r="A76" s="18" t="s">
        <v>149</v>
      </c>
      <c r="B76" s="34" t="s">
        <v>150</v>
      </c>
      <c r="C76" s="35" t="s">
        <v>53</v>
      </c>
      <c r="D76" s="18" t="s">
        <v>233</v>
      </c>
      <c r="E76" s="18" t="s">
        <v>234</v>
      </c>
      <c r="F76" s="36" t="s">
        <v>215</v>
      </c>
      <c r="G76" s="20" t="s">
        <v>216</v>
      </c>
      <c r="H76" s="20" t="s">
        <v>217</v>
      </c>
      <c r="I76" s="18"/>
    </row>
    <row r="77" customFormat="false" ht="15" hidden="false" customHeight="false" outlineLevel="0" collapsed="false">
      <c r="A77" s="30" t="s">
        <v>149</v>
      </c>
      <c r="B77" s="31" t="s">
        <v>152</v>
      </c>
      <c r="C77" s="32" t="s">
        <v>153</v>
      </c>
      <c r="D77" s="30" t="s">
        <v>226</v>
      </c>
      <c r="E77" s="30" t="s">
        <v>236</v>
      </c>
      <c r="F77" s="33" t="s">
        <v>309</v>
      </c>
      <c r="G77" s="32" t="s">
        <v>315</v>
      </c>
      <c r="H77" s="32" t="s">
        <v>311</v>
      </c>
      <c r="I77" s="30"/>
    </row>
    <row r="78" customFormat="false" ht="15" hidden="false" customHeight="false" outlineLevel="0" collapsed="false">
      <c r="A78" s="18" t="s">
        <v>149</v>
      </c>
      <c r="B78" s="34" t="s">
        <v>152</v>
      </c>
      <c r="C78" s="35" t="s">
        <v>153</v>
      </c>
      <c r="D78" s="18" t="s">
        <v>229</v>
      </c>
      <c r="E78" s="18" t="s">
        <v>236</v>
      </c>
      <c r="F78" s="36" t="s">
        <v>215</v>
      </c>
      <c r="G78" s="20" t="s">
        <v>216</v>
      </c>
      <c r="H78" s="20" t="s">
        <v>217</v>
      </c>
      <c r="I78" s="18"/>
    </row>
    <row r="79" customFormat="false" ht="15" hidden="false" customHeight="false" outlineLevel="0" collapsed="false">
      <c r="A79" s="30" t="s">
        <v>149</v>
      </c>
      <c r="B79" s="31" t="s">
        <v>156</v>
      </c>
      <c r="C79" s="32" t="s">
        <v>98</v>
      </c>
      <c r="D79" s="30" t="s">
        <v>226</v>
      </c>
      <c r="E79" s="30" t="s">
        <v>236</v>
      </c>
      <c r="F79" s="39" t="s">
        <v>219</v>
      </c>
      <c r="G79" s="32" t="s">
        <v>220</v>
      </c>
      <c r="H79" s="32" t="s">
        <v>221</v>
      </c>
      <c r="I79" s="30"/>
    </row>
    <row r="80" customFormat="false" ht="15" hidden="false" customHeight="false" outlineLevel="0" collapsed="false">
      <c r="A80" s="18" t="s">
        <v>149</v>
      </c>
      <c r="B80" s="34" t="s">
        <v>156</v>
      </c>
      <c r="C80" s="35" t="s">
        <v>98</v>
      </c>
      <c r="D80" s="18" t="s">
        <v>229</v>
      </c>
      <c r="E80" s="18" t="s">
        <v>236</v>
      </c>
      <c r="F80" s="38" t="s">
        <v>309</v>
      </c>
      <c r="G80" s="20" t="s">
        <v>316</v>
      </c>
      <c r="H80" s="20" t="s">
        <v>311</v>
      </c>
      <c r="I80" s="18"/>
    </row>
    <row r="81" customFormat="false" ht="15" hidden="false" customHeight="false" outlineLevel="0" collapsed="false">
      <c r="A81" s="30" t="s">
        <v>149</v>
      </c>
      <c r="B81" s="31" t="s">
        <v>158</v>
      </c>
      <c r="C81" s="32" t="s">
        <v>93</v>
      </c>
      <c r="D81" s="30" t="s">
        <v>226</v>
      </c>
      <c r="E81" s="30" t="s">
        <v>236</v>
      </c>
      <c r="F81" s="33" t="s">
        <v>309</v>
      </c>
      <c r="G81" s="32" t="s">
        <v>317</v>
      </c>
      <c r="H81" s="32" t="s">
        <v>311</v>
      </c>
      <c r="I81" s="30"/>
    </row>
    <row r="82" customFormat="false" ht="15" hidden="false" customHeight="false" outlineLevel="0" collapsed="false">
      <c r="A82" s="18" t="s">
        <v>149</v>
      </c>
      <c r="B82" s="34" t="s">
        <v>158</v>
      </c>
      <c r="C82" s="35" t="s">
        <v>93</v>
      </c>
      <c r="D82" s="18" t="s">
        <v>229</v>
      </c>
      <c r="E82" s="18" t="s">
        <v>236</v>
      </c>
      <c r="F82" s="36" t="s">
        <v>215</v>
      </c>
      <c r="G82" s="20" t="s">
        <v>216</v>
      </c>
      <c r="H82" s="20" t="s">
        <v>217</v>
      </c>
      <c r="I82" s="18"/>
    </row>
    <row r="83" customFormat="false" ht="15" hidden="false" customHeight="false" outlineLevel="0" collapsed="false">
      <c r="A83" s="30" t="s">
        <v>149</v>
      </c>
      <c r="B83" s="31" t="s">
        <v>160</v>
      </c>
      <c r="C83" s="32" t="s">
        <v>153</v>
      </c>
      <c r="D83" s="30" t="s">
        <v>226</v>
      </c>
      <c r="E83" s="30" t="s">
        <v>236</v>
      </c>
      <c r="F83" s="33" t="s">
        <v>312</v>
      </c>
      <c r="G83" s="32" t="s">
        <v>318</v>
      </c>
      <c r="H83" s="32" t="s">
        <v>314</v>
      </c>
      <c r="I83" s="30"/>
    </row>
    <row r="84" customFormat="false" ht="15" hidden="false" customHeight="false" outlineLevel="0" collapsed="false">
      <c r="A84" s="18" t="s">
        <v>149</v>
      </c>
      <c r="B84" s="34" t="s">
        <v>160</v>
      </c>
      <c r="C84" s="35" t="s">
        <v>153</v>
      </c>
      <c r="D84" s="18" t="s">
        <v>229</v>
      </c>
      <c r="E84" s="18" t="s">
        <v>236</v>
      </c>
      <c r="F84" s="36" t="s">
        <v>215</v>
      </c>
      <c r="G84" s="20" t="s">
        <v>216</v>
      </c>
      <c r="H84" s="20" t="s">
        <v>217</v>
      </c>
      <c r="I84" s="18"/>
    </row>
    <row r="85" customFormat="false" ht="15" hidden="false" customHeight="false" outlineLevel="0" collapsed="false">
      <c r="A85" s="30" t="s">
        <v>149</v>
      </c>
      <c r="B85" s="31" t="s">
        <v>162</v>
      </c>
      <c r="C85" s="32" t="s">
        <v>98</v>
      </c>
      <c r="D85" s="30" t="s">
        <v>226</v>
      </c>
      <c r="E85" s="30" t="s">
        <v>236</v>
      </c>
      <c r="F85" s="39" t="s">
        <v>219</v>
      </c>
      <c r="G85" s="32" t="s">
        <v>220</v>
      </c>
      <c r="H85" s="32" t="s">
        <v>221</v>
      </c>
      <c r="I85" s="30"/>
    </row>
    <row r="86" customFormat="false" ht="15" hidden="false" customHeight="false" outlineLevel="0" collapsed="false">
      <c r="A86" s="18" t="s">
        <v>149</v>
      </c>
      <c r="B86" s="34" t="s">
        <v>162</v>
      </c>
      <c r="C86" s="35" t="s">
        <v>98</v>
      </c>
      <c r="D86" s="18" t="s">
        <v>229</v>
      </c>
      <c r="E86" s="18" t="s">
        <v>236</v>
      </c>
      <c r="F86" s="38" t="s">
        <v>312</v>
      </c>
      <c r="G86" s="20" t="s">
        <v>319</v>
      </c>
      <c r="H86" s="20" t="s">
        <v>314</v>
      </c>
      <c r="I86" s="18"/>
    </row>
    <row r="87" customFormat="false" ht="15" hidden="false" customHeight="false" outlineLevel="0" collapsed="false">
      <c r="A87" s="30" t="s">
        <v>149</v>
      </c>
      <c r="B87" s="31" t="s">
        <v>164</v>
      </c>
      <c r="C87" s="32" t="s">
        <v>93</v>
      </c>
      <c r="D87" s="30" t="s">
        <v>226</v>
      </c>
      <c r="E87" s="30" t="s">
        <v>236</v>
      </c>
      <c r="F87" s="33" t="s">
        <v>312</v>
      </c>
      <c r="G87" s="32" t="s">
        <v>320</v>
      </c>
      <c r="H87" s="32" t="s">
        <v>314</v>
      </c>
      <c r="I87" s="30"/>
    </row>
    <row r="88" customFormat="false" ht="15" hidden="false" customHeight="false" outlineLevel="0" collapsed="false">
      <c r="A88" s="18" t="s">
        <v>149</v>
      </c>
      <c r="B88" s="34" t="s">
        <v>164</v>
      </c>
      <c r="C88" s="35" t="s">
        <v>93</v>
      </c>
      <c r="D88" s="18" t="s">
        <v>229</v>
      </c>
      <c r="E88" s="18" t="s">
        <v>236</v>
      </c>
      <c r="F88" s="36" t="s">
        <v>215</v>
      </c>
      <c r="G88" s="20" t="s">
        <v>216</v>
      </c>
      <c r="H88" s="20" t="s">
        <v>217</v>
      </c>
      <c r="I88" s="18"/>
    </row>
    <row r="89" customFormat="false" ht="15" hidden="false" customHeight="false" outlineLevel="0" collapsed="false">
      <c r="A89" s="30" t="s">
        <v>149</v>
      </c>
      <c r="B89" s="31" t="s">
        <v>166</v>
      </c>
      <c r="C89" s="32" t="s">
        <v>167</v>
      </c>
      <c r="D89" s="30" t="s">
        <v>226</v>
      </c>
      <c r="E89" s="30" t="s">
        <v>226</v>
      </c>
      <c r="F89" s="39" t="s">
        <v>219</v>
      </c>
      <c r="G89" s="32" t="s">
        <v>220</v>
      </c>
      <c r="H89" s="32" t="s">
        <v>221</v>
      </c>
      <c r="I89" s="30"/>
    </row>
    <row r="90" customFormat="false" ht="15" hidden="false" customHeight="false" outlineLevel="0" collapsed="false">
      <c r="A90" s="18" t="s">
        <v>149</v>
      </c>
      <c r="B90" s="34" t="s">
        <v>166</v>
      </c>
      <c r="C90" s="35" t="s">
        <v>167</v>
      </c>
      <c r="D90" s="18" t="s">
        <v>229</v>
      </c>
      <c r="E90" s="18" t="s">
        <v>242</v>
      </c>
      <c r="F90" s="38" t="s">
        <v>321</v>
      </c>
      <c r="G90" s="20" t="s">
        <v>322</v>
      </c>
      <c r="H90" s="20" t="s">
        <v>323</v>
      </c>
      <c r="I90" s="18"/>
    </row>
    <row r="91" customFormat="false" ht="15" hidden="false" customHeight="false" outlineLevel="0" collapsed="false">
      <c r="A91" s="18" t="s">
        <v>149</v>
      </c>
      <c r="B91" s="34" t="s">
        <v>166</v>
      </c>
      <c r="C91" s="35" t="s">
        <v>167</v>
      </c>
      <c r="D91" s="18" t="s">
        <v>231</v>
      </c>
      <c r="E91" s="18" t="s">
        <v>231</v>
      </c>
      <c r="F91" s="36" t="s">
        <v>215</v>
      </c>
      <c r="G91" s="20" t="s">
        <v>216</v>
      </c>
      <c r="H91" s="20" t="s">
        <v>217</v>
      </c>
      <c r="I91" s="18"/>
    </row>
    <row r="92" customFormat="false" ht="15" hidden="false" customHeight="false" outlineLevel="0" collapsed="false">
      <c r="A92" s="30" t="s">
        <v>149</v>
      </c>
      <c r="B92" s="31" t="s">
        <v>169</v>
      </c>
      <c r="C92" s="32" t="s">
        <v>170</v>
      </c>
      <c r="D92" s="30" t="s">
        <v>231</v>
      </c>
      <c r="E92" s="30" t="s">
        <v>251</v>
      </c>
      <c r="F92" s="33" t="s">
        <v>312</v>
      </c>
      <c r="G92" s="32" t="s">
        <v>324</v>
      </c>
      <c r="H92" s="32" t="s">
        <v>314</v>
      </c>
      <c r="I92" s="30"/>
    </row>
    <row r="93" customFormat="false" ht="15" hidden="false" customHeight="false" outlineLevel="0" collapsed="false">
      <c r="A93" s="18" t="s">
        <v>149</v>
      </c>
      <c r="B93" s="34" t="s">
        <v>169</v>
      </c>
      <c r="C93" s="35" t="s">
        <v>170</v>
      </c>
      <c r="D93" s="18" t="s">
        <v>229</v>
      </c>
      <c r="E93" s="18" t="s">
        <v>253</v>
      </c>
      <c r="F93" s="38" t="s">
        <v>321</v>
      </c>
      <c r="G93" s="20" t="s">
        <v>325</v>
      </c>
      <c r="H93" s="20" t="s">
        <v>323</v>
      </c>
      <c r="I93" s="18"/>
    </row>
    <row r="94" customFormat="false" ht="15" hidden="false" customHeight="false" outlineLevel="0" collapsed="false">
      <c r="A94" s="18" t="s">
        <v>149</v>
      </c>
      <c r="B94" s="34" t="s">
        <v>169</v>
      </c>
      <c r="C94" s="35" t="s">
        <v>170</v>
      </c>
      <c r="D94" s="18" t="s">
        <v>226</v>
      </c>
      <c r="E94" s="18" t="s">
        <v>257</v>
      </c>
      <c r="F94" s="44" t="s">
        <v>299</v>
      </c>
      <c r="G94" s="20" t="s">
        <v>326</v>
      </c>
      <c r="H94" s="20" t="s">
        <v>301</v>
      </c>
      <c r="I94" s="18"/>
    </row>
    <row r="95" customFormat="false" ht="15" hidden="false" customHeight="false" outlineLevel="0" collapsed="false">
      <c r="A95" s="30" t="s">
        <v>149</v>
      </c>
      <c r="B95" s="31" t="s">
        <v>169</v>
      </c>
      <c r="C95" s="32" t="s">
        <v>173</v>
      </c>
      <c r="D95" s="30" t="s">
        <v>277</v>
      </c>
      <c r="E95" s="30" t="s">
        <v>251</v>
      </c>
      <c r="F95" s="45" t="s">
        <v>215</v>
      </c>
      <c r="G95" s="32" t="s">
        <v>216</v>
      </c>
      <c r="H95" s="32" t="s">
        <v>217</v>
      </c>
      <c r="I95" s="30"/>
    </row>
    <row r="96" customFormat="false" ht="15" hidden="false" customHeight="false" outlineLevel="0" collapsed="false">
      <c r="A96" s="18" t="s">
        <v>149</v>
      </c>
      <c r="B96" s="34" t="s">
        <v>169</v>
      </c>
      <c r="C96" s="35" t="s">
        <v>173</v>
      </c>
      <c r="D96" s="18" t="s">
        <v>279</v>
      </c>
      <c r="E96" s="18" t="s">
        <v>253</v>
      </c>
      <c r="F96" s="36" t="s">
        <v>215</v>
      </c>
      <c r="G96" s="20" t="s">
        <v>216</v>
      </c>
      <c r="H96" s="20" t="s">
        <v>217</v>
      </c>
      <c r="I96" s="18"/>
    </row>
    <row r="97" customFormat="false" ht="15" hidden="false" customHeight="false" outlineLevel="0" collapsed="false">
      <c r="A97" s="18" t="s">
        <v>149</v>
      </c>
      <c r="B97" s="34" t="s">
        <v>169</v>
      </c>
      <c r="C97" s="35" t="s">
        <v>173</v>
      </c>
      <c r="D97" s="18" t="s">
        <v>281</v>
      </c>
      <c r="E97" s="18" t="s">
        <v>257</v>
      </c>
      <c r="F97" s="47" t="s">
        <v>327</v>
      </c>
      <c r="G97" s="20" t="s">
        <v>328</v>
      </c>
      <c r="H97" s="20" t="s">
        <v>329</v>
      </c>
      <c r="I97" s="18"/>
    </row>
    <row r="98" customFormat="false" ht="15" hidden="false" customHeight="false" outlineLevel="0" collapsed="false">
      <c r="A98" s="30" t="s">
        <v>149</v>
      </c>
      <c r="B98" s="31" t="s">
        <v>169</v>
      </c>
      <c r="C98" s="32" t="s">
        <v>176</v>
      </c>
      <c r="D98" s="30" t="s">
        <v>283</v>
      </c>
      <c r="E98" s="30" t="s">
        <v>284</v>
      </c>
      <c r="F98" s="39" t="s">
        <v>237</v>
      </c>
      <c r="G98" s="32" t="s">
        <v>238</v>
      </c>
      <c r="H98" s="32" t="s">
        <v>239</v>
      </c>
      <c r="I98" s="30"/>
    </row>
    <row r="99" customFormat="false" ht="15" hidden="false" customHeight="false" outlineLevel="0" collapsed="false">
      <c r="A99" s="18" t="s">
        <v>149</v>
      </c>
      <c r="B99" s="34" t="s">
        <v>169</v>
      </c>
      <c r="C99" s="35" t="s">
        <v>176</v>
      </c>
      <c r="D99" s="18" t="s">
        <v>233</v>
      </c>
      <c r="E99" s="18" t="s">
        <v>215</v>
      </c>
      <c r="F99" s="36" t="s">
        <v>215</v>
      </c>
      <c r="G99" s="20" t="s">
        <v>216</v>
      </c>
      <c r="H99" s="20" t="s">
        <v>217</v>
      </c>
      <c r="I99" s="18"/>
    </row>
    <row r="100" customFormat="false" ht="15" hidden="false" customHeight="false" outlineLevel="0" collapsed="false">
      <c r="A100" s="30" t="s">
        <v>149</v>
      </c>
      <c r="B100" s="31" t="s">
        <v>179</v>
      </c>
      <c r="C100" s="32" t="s">
        <v>93</v>
      </c>
      <c r="D100" s="30" t="s">
        <v>226</v>
      </c>
      <c r="E100" s="30" t="s">
        <v>236</v>
      </c>
      <c r="F100" s="39" t="s">
        <v>237</v>
      </c>
      <c r="G100" s="32" t="s">
        <v>238</v>
      </c>
      <c r="H100" s="32" t="s">
        <v>239</v>
      </c>
      <c r="I100" s="30"/>
    </row>
    <row r="101" customFormat="false" ht="15" hidden="false" customHeight="false" outlineLevel="0" collapsed="false">
      <c r="A101" s="18" t="s">
        <v>149</v>
      </c>
      <c r="B101" s="34" t="s">
        <v>179</v>
      </c>
      <c r="C101" s="35" t="s">
        <v>93</v>
      </c>
      <c r="D101" s="18" t="s">
        <v>229</v>
      </c>
      <c r="E101" s="18" t="s">
        <v>236</v>
      </c>
      <c r="F101" s="36" t="s">
        <v>215</v>
      </c>
      <c r="G101" s="20" t="s">
        <v>216</v>
      </c>
      <c r="H101" s="20" t="s">
        <v>217</v>
      </c>
      <c r="I101" s="18"/>
    </row>
    <row r="102" customFormat="false" ht="19.5" hidden="false" customHeight="true" outlineLevel="0" collapsed="false">
      <c r="A102" s="48" t="s">
        <v>181</v>
      </c>
      <c r="B102" s="25"/>
      <c r="C102" s="25"/>
      <c r="D102" s="25"/>
      <c r="E102" s="25"/>
      <c r="F102" s="25"/>
      <c r="G102" s="25"/>
      <c r="H102" s="25"/>
      <c r="I102" s="25"/>
    </row>
    <row r="103" customFormat="false" ht="15" hidden="false" customHeight="false" outlineLevel="0" collapsed="false">
      <c r="A103" s="30" t="s">
        <v>182</v>
      </c>
      <c r="B103" s="31" t="s">
        <v>183</v>
      </c>
      <c r="C103" s="32" t="s">
        <v>184</v>
      </c>
      <c r="D103" s="30" t="s">
        <v>226</v>
      </c>
      <c r="E103" s="30" t="s">
        <v>227</v>
      </c>
      <c r="F103" s="39" t="s">
        <v>237</v>
      </c>
      <c r="G103" s="32" t="s">
        <v>238</v>
      </c>
      <c r="H103" s="32" t="s">
        <v>239</v>
      </c>
      <c r="I103" s="30"/>
    </row>
    <row r="104" customFormat="false" ht="15" hidden="false" customHeight="false" outlineLevel="0" collapsed="false">
      <c r="A104" s="18" t="s">
        <v>182</v>
      </c>
      <c r="B104" s="34" t="s">
        <v>183</v>
      </c>
      <c r="C104" s="35" t="s">
        <v>184</v>
      </c>
      <c r="D104" s="18" t="s">
        <v>229</v>
      </c>
      <c r="E104" s="18" t="s">
        <v>230</v>
      </c>
      <c r="F104" s="37" t="s">
        <v>219</v>
      </c>
      <c r="G104" s="20" t="s">
        <v>220</v>
      </c>
      <c r="H104" s="20" t="s">
        <v>221</v>
      </c>
      <c r="I104" s="18"/>
    </row>
    <row r="105" customFormat="false" ht="15" hidden="false" customHeight="false" outlineLevel="0" collapsed="false">
      <c r="A105" s="18" t="s">
        <v>182</v>
      </c>
      <c r="B105" s="34" t="s">
        <v>183</v>
      </c>
      <c r="C105" s="35" t="s">
        <v>184</v>
      </c>
      <c r="D105" s="18" t="s">
        <v>231</v>
      </c>
      <c r="E105" s="18" t="s">
        <v>232</v>
      </c>
      <c r="F105" s="36" t="s">
        <v>215</v>
      </c>
      <c r="G105" s="20" t="s">
        <v>216</v>
      </c>
      <c r="H105" s="20" t="s">
        <v>217</v>
      </c>
      <c r="I105" s="18"/>
    </row>
    <row r="106" customFormat="false" ht="15" hidden="false" customHeight="false" outlineLevel="0" collapsed="false">
      <c r="A106" s="30" t="s">
        <v>182</v>
      </c>
      <c r="B106" s="31" t="s">
        <v>188</v>
      </c>
      <c r="C106" s="32" t="s">
        <v>103</v>
      </c>
      <c r="D106" s="30" t="s">
        <v>226</v>
      </c>
      <c r="E106" s="30" t="s">
        <v>251</v>
      </c>
      <c r="F106" s="39" t="s">
        <v>219</v>
      </c>
      <c r="G106" s="32" t="s">
        <v>220</v>
      </c>
      <c r="H106" s="32" t="s">
        <v>221</v>
      </c>
      <c r="I106" s="30"/>
    </row>
    <row r="107" customFormat="false" ht="15" hidden="false" customHeight="false" outlineLevel="0" collapsed="false">
      <c r="A107" s="18" t="s">
        <v>182</v>
      </c>
      <c r="B107" s="34" t="s">
        <v>188</v>
      </c>
      <c r="C107" s="35" t="s">
        <v>103</v>
      </c>
      <c r="D107" s="18" t="s">
        <v>229</v>
      </c>
      <c r="E107" s="18" t="s">
        <v>253</v>
      </c>
      <c r="F107" s="36" t="s">
        <v>215</v>
      </c>
      <c r="G107" s="20" t="s">
        <v>216</v>
      </c>
      <c r="H107" s="20" t="s">
        <v>217</v>
      </c>
      <c r="I107" s="18"/>
    </row>
    <row r="108" customFormat="false" ht="15" hidden="false" customHeight="false" outlineLevel="0" collapsed="false">
      <c r="A108" s="30" t="s">
        <v>182</v>
      </c>
      <c r="B108" s="31" t="s">
        <v>190</v>
      </c>
      <c r="C108" s="32" t="s">
        <v>191</v>
      </c>
      <c r="D108" s="30" t="s">
        <v>226</v>
      </c>
      <c r="E108" s="30" t="s">
        <v>227</v>
      </c>
      <c r="F108" s="33" t="s">
        <v>268</v>
      </c>
      <c r="G108" s="32" t="s">
        <v>330</v>
      </c>
      <c r="H108" s="32" t="s">
        <v>270</v>
      </c>
      <c r="I108" s="30"/>
    </row>
    <row r="109" customFormat="false" ht="15" hidden="false" customHeight="false" outlineLevel="0" collapsed="false">
      <c r="A109" s="18" t="s">
        <v>182</v>
      </c>
      <c r="B109" s="34" t="s">
        <v>190</v>
      </c>
      <c r="C109" s="35" t="s">
        <v>191</v>
      </c>
      <c r="D109" s="18" t="s">
        <v>229</v>
      </c>
      <c r="E109" s="18" t="s">
        <v>230</v>
      </c>
      <c r="F109" s="38" t="s">
        <v>309</v>
      </c>
      <c r="G109" s="20" t="s">
        <v>331</v>
      </c>
      <c r="H109" s="20" t="s">
        <v>311</v>
      </c>
      <c r="I109" s="18"/>
    </row>
    <row r="110" customFormat="false" ht="15" hidden="false" customHeight="false" outlineLevel="0" collapsed="false">
      <c r="A110" s="18" t="s">
        <v>182</v>
      </c>
      <c r="B110" s="34" t="s">
        <v>190</v>
      </c>
      <c r="C110" s="35" t="s">
        <v>191</v>
      </c>
      <c r="D110" s="18" t="s">
        <v>231</v>
      </c>
      <c r="E110" s="18" t="s">
        <v>232</v>
      </c>
      <c r="F110" s="44" t="s">
        <v>304</v>
      </c>
      <c r="G110" s="20" t="s">
        <v>332</v>
      </c>
      <c r="H110" s="20" t="s">
        <v>306</v>
      </c>
      <c r="I110" s="18"/>
    </row>
    <row r="111" customFormat="false" ht="15" hidden="false" customHeight="false" outlineLevel="0" collapsed="false">
      <c r="A111" s="18" t="s">
        <v>182</v>
      </c>
      <c r="B111" s="34" t="s">
        <v>190</v>
      </c>
      <c r="C111" s="35" t="s">
        <v>191</v>
      </c>
      <c r="D111" s="18" t="s">
        <v>233</v>
      </c>
      <c r="E111" s="18" t="s">
        <v>234</v>
      </c>
      <c r="F111" s="49" t="s">
        <v>333</v>
      </c>
      <c r="G111" s="20" t="s">
        <v>334</v>
      </c>
      <c r="H111" s="20" t="s">
        <v>335</v>
      </c>
      <c r="I111" s="18"/>
    </row>
    <row r="112" customFormat="false" ht="15" hidden="false" customHeight="false" outlineLevel="0" collapsed="false">
      <c r="A112" s="18" t="s">
        <v>182</v>
      </c>
      <c r="B112" s="34" t="s">
        <v>190</v>
      </c>
      <c r="C112" s="35" t="s">
        <v>191</v>
      </c>
      <c r="D112" s="18" t="s">
        <v>277</v>
      </c>
      <c r="E112" s="18" t="s">
        <v>336</v>
      </c>
      <c r="F112" s="49" t="s">
        <v>337</v>
      </c>
      <c r="G112" s="20" t="s">
        <v>338</v>
      </c>
      <c r="H112" s="20" t="s">
        <v>339</v>
      </c>
      <c r="I112" s="18"/>
    </row>
    <row r="113" customFormat="false" ht="15" hidden="false" customHeight="false" outlineLevel="0" collapsed="false">
      <c r="A113" s="30" t="s">
        <v>182</v>
      </c>
      <c r="B113" s="31" t="s">
        <v>195</v>
      </c>
      <c r="C113" s="32" t="s">
        <v>53</v>
      </c>
      <c r="D113" s="30" t="s">
        <v>226</v>
      </c>
      <c r="E113" s="30" t="s">
        <v>227</v>
      </c>
      <c r="F113" s="39" t="s">
        <v>219</v>
      </c>
      <c r="G113" s="32" t="s">
        <v>220</v>
      </c>
      <c r="H113" s="32" t="s">
        <v>221</v>
      </c>
      <c r="I113" s="30"/>
    </row>
    <row r="114" customFormat="false" ht="15" hidden="false" customHeight="false" outlineLevel="0" collapsed="false">
      <c r="A114" s="18" t="s">
        <v>182</v>
      </c>
      <c r="B114" s="34" t="s">
        <v>195</v>
      </c>
      <c r="C114" s="35" t="s">
        <v>53</v>
      </c>
      <c r="D114" s="18" t="s">
        <v>229</v>
      </c>
      <c r="E114" s="18" t="s">
        <v>230</v>
      </c>
      <c r="F114" s="36" t="s">
        <v>215</v>
      </c>
      <c r="G114" s="20" t="s">
        <v>216</v>
      </c>
      <c r="H114" s="20" t="s">
        <v>217</v>
      </c>
      <c r="I114" s="18"/>
    </row>
    <row r="115" customFormat="false" ht="15" hidden="false" customHeight="false" outlineLevel="0" collapsed="false">
      <c r="A115" s="18" t="s">
        <v>182</v>
      </c>
      <c r="B115" s="34" t="s">
        <v>195</v>
      </c>
      <c r="C115" s="35" t="s">
        <v>53</v>
      </c>
      <c r="D115" s="18" t="s">
        <v>231</v>
      </c>
      <c r="E115" s="18" t="s">
        <v>232</v>
      </c>
      <c r="F115" s="49" t="s">
        <v>333</v>
      </c>
      <c r="G115" s="20" t="s">
        <v>340</v>
      </c>
      <c r="H115" s="20" t="s">
        <v>335</v>
      </c>
      <c r="I115" s="18"/>
    </row>
    <row r="116" customFormat="false" ht="15" hidden="false" customHeight="false" outlineLevel="0" collapsed="false">
      <c r="A116" s="18" t="s">
        <v>182</v>
      </c>
      <c r="B116" s="34" t="s">
        <v>195</v>
      </c>
      <c r="C116" s="35" t="s">
        <v>53</v>
      </c>
      <c r="D116" s="18" t="s">
        <v>233</v>
      </c>
      <c r="E116" s="18" t="s">
        <v>234</v>
      </c>
      <c r="F116" s="49" t="s">
        <v>337</v>
      </c>
      <c r="G116" s="20" t="s">
        <v>341</v>
      </c>
      <c r="H116" s="20" t="s">
        <v>339</v>
      </c>
      <c r="I116" s="18"/>
    </row>
    <row r="117" customFormat="false" ht="15" hidden="false" customHeight="false" outlineLevel="0" collapsed="false">
      <c r="A117" s="30" t="s">
        <v>182</v>
      </c>
      <c r="B117" s="31" t="s">
        <v>197</v>
      </c>
      <c r="C117" s="32" t="s">
        <v>191</v>
      </c>
      <c r="D117" s="30" t="s">
        <v>226</v>
      </c>
      <c r="E117" s="30" t="s">
        <v>227</v>
      </c>
      <c r="F117" s="39" t="s">
        <v>219</v>
      </c>
      <c r="G117" s="32" t="s">
        <v>220</v>
      </c>
      <c r="H117" s="32" t="s">
        <v>221</v>
      </c>
      <c r="I117" s="30"/>
    </row>
    <row r="118" customFormat="false" ht="15" hidden="false" customHeight="false" outlineLevel="0" collapsed="false">
      <c r="A118" s="18" t="s">
        <v>182</v>
      </c>
      <c r="B118" s="34" t="s">
        <v>197</v>
      </c>
      <c r="C118" s="35" t="s">
        <v>191</v>
      </c>
      <c r="D118" s="18" t="s">
        <v>229</v>
      </c>
      <c r="E118" s="18" t="s">
        <v>230</v>
      </c>
      <c r="F118" s="36" t="s">
        <v>215</v>
      </c>
      <c r="G118" s="20" t="s">
        <v>216</v>
      </c>
      <c r="H118" s="20" t="s">
        <v>217</v>
      </c>
      <c r="I118" s="18"/>
    </row>
    <row r="119" customFormat="false" ht="15" hidden="false" customHeight="false" outlineLevel="0" collapsed="false">
      <c r="A119" s="18" t="s">
        <v>182</v>
      </c>
      <c r="B119" s="34" t="s">
        <v>197</v>
      </c>
      <c r="C119" s="35" t="s">
        <v>191</v>
      </c>
      <c r="D119" s="18" t="s">
        <v>231</v>
      </c>
      <c r="E119" s="18" t="s">
        <v>232</v>
      </c>
      <c r="F119" s="49" t="s">
        <v>333</v>
      </c>
      <c r="G119" s="20" t="s">
        <v>342</v>
      </c>
      <c r="H119" s="20" t="s">
        <v>335</v>
      </c>
      <c r="I119" s="18"/>
    </row>
    <row r="120" customFormat="false" ht="15" hidden="false" customHeight="false" outlineLevel="0" collapsed="false">
      <c r="A120" s="18" t="s">
        <v>182</v>
      </c>
      <c r="B120" s="34" t="s">
        <v>197</v>
      </c>
      <c r="C120" s="35" t="s">
        <v>191</v>
      </c>
      <c r="D120" s="18" t="s">
        <v>233</v>
      </c>
      <c r="E120" s="18" t="s">
        <v>234</v>
      </c>
      <c r="F120" s="49" t="s">
        <v>337</v>
      </c>
      <c r="G120" s="20" t="s">
        <v>343</v>
      </c>
      <c r="H120" s="20" t="s">
        <v>339</v>
      </c>
      <c r="I120" s="18"/>
    </row>
    <row r="121" customFormat="false" ht="15" hidden="false" customHeight="false" outlineLevel="0" collapsed="false">
      <c r="A121" s="18" t="s">
        <v>182</v>
      </c>
      <c r="B121" s="34" t="s">
        <v>197</v>
      </c>
      <c r="C121" s="35" t="s">
        <v>191</v>
      </c>
      <c r="D121" s="18" t="s">
        <v>277</v>
      </c>
      <c r="E121" s="18" t="s">
        <v>336</v>
      </c>
      <c r="F121" s="36" t="s">
        <v>215</v>
      </c>
      <c r="G121" s="20" t="s">
        <v>216</v>
      </c>
      <c r="H121" s="20" t="s">
        <v>217</v>
      </c>
      <c r="I121" s="18"/>
    </row>
    <row r="122" customFormat="false" ht="15" hidden="false" customHeight="false" outlineLevel="0" collapsed="false">
      <c r="A122" s="30" t="s">
        <v>182</v>
      </c>
      <c r="B122" s="31" t="s">
        <v>199</v>
      </c>
      <c r="C122" s="32" t="s">
        <v>53</v>
      </c>
      <c r="D122" s="30" t="s">
        <v>226</v>
      </c>
      <c r="E122" s="30" t="s">
        <v>227</v>
      </c>
      <c r="F122" s="39" t="s">
        <v>219</v>
      </c>
      <c r="G122" s="32" t="s">
        <v>220</v>
      </c>
      <c r="H122" s="32" t="s">
        <v>221</v>
      </c>
      <c r="I122" s="30"/>
    </row>
    <row r="123" customFormat="false" ht="15" hidden="false" customHeight="false" outlineLevel="0" collapsed="false">
      <c r="A123" s="18" t="s">
        <v>182</v>
      </c>
      <c r="B123" s="34" t="s">
        <v>199</v>
      </c>
      <c r="C123" s="35" t="s">
        <v>53</v>
      </c>
      <c r="D123" s="18" t="s">
        <v>229</v>
      </c>
      <c r="E123" s="18" t="s">
        <v>230</v>
      </c>
      <c r="F123" s="36" t="s">
        <v>215</v>
      </c>
      <c r="G123" s="20" t="s">
        <v>216</v>
      </c>
      <c r="H123" s="20" t="s">
        <v>217</v>
      </c>
      <c r="I123" s="18"/>
    </row>
    <row r="124" customFormat="false" ht="15" hidden="false" customHeight="false" outlineLevel="0" collapsed="false">
      <c r="A124" s="18" t="s">
        <v>182</v>
      </c>
      <c r="B124" s="34" t="s">
        <v>199</v>
      </c>
      <c r="C124" s="35" t="s">
        <v>53</v>
      </c>
      <c r="D124" s="18" t="s">
        <v>231</v>
      </c>
      <c r="E124" s="18" t="s">
        <v>232</v>
      </c>
      <c r="F124" s="49" t="s">
        <v>333</v>
      </c>
      <c r="G124" s="20" t="s">
        <v>344</v>
      </c>
      <c r="H124" s="20" t="s">
        <v>335</v>
      </c>
      <c r="I124" s="18"/>
    </row>
    <row r="125" customFormat="false" ht="15" hidden="false" customHeight="false" outlineLevel="0" collapsed="false">
      <c r="A125" s="18" t="s">
        <v>182</v>
      </c>
      <c r="B125" s="34" t="s">
        <v>199</v>
      </c>
      <c r="C125" s="35" t="s">
        <v>53</v>
      </c>
      <c r="D125" s="18" t="s">
        <v>233</v>
      </c>
      <c r="E125" s="18" t="s">
        <v>234</v>
      </c>
      <c r="F125" s="49" t="s">
        <v>337</v>
      </c>
      <c r="G125" s="20" t="s">
        <v>345</v>
      </c>
      <c r="H125" s="20" t="s">
        <v>339</v>
      </c>
      <c r="I125" s="18"/>
    </row>
  </sheetData>
  <autoFilter ref="A4:I125"/>
  <conditionalFormatting sqref="A5:I125">
    <cfRule type="expression" priority="2" aboveAverage="0" equalAverage="0" bottom="0" percent="0" rank="0" text="" dxfId="0">
      <formula>$I5="✓"</formula>
    </cfRule>
  </conditionalFormatting>
  <dataValidations count="1">
    <dataValidation allowBlank="true" errorStyle="stop" operator="between" showDropDown="false" showErrorMessage="false" showInputMessage="false" sqref="I6:I35 I37:I49 I51:I71 I73:I101 I103:I12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</cols>
  <sheetData>
    <row r="1" customFormat="false" ht="35.05" hidden="false" customHeight="false" outlineLevel="0" collapsed="false">
      <c r="A1" s="16" t="s">
        <v>205</v>
      </c>
      <c r="B1" s="16" t="s">
        <v>346</v>
      </c>
      <c r="C1" s="16" t="s">
        <v>347</v>
      </c>
      <c r="D1" s="16" t="s">
        <v>348</v>
      </c>
      <c r="E1" s="16" t="s">
        <v>349</v>
      </c>
      <c r="F1" s="16" t="s">
        <v>350</v>
      </c>
      <c r="G1" s="16" t="s">
        <v>351</v>
      </c>
    </row>
    <row r="2" customFormat="false" ht="15" hidden="false" customHeight="false" outlineLevel="0" collapsed="false">
      <c r="A2" s="37" t="s">
        <v>237</v>
      </c>
      <c r="B2" s="18" t="s">
        <v>352</v>
      </c>
      <c r="C2" s="20" t="s">
        <v>239</v>
      </c>
      <c r="D2" s="20" t="s">
        <v>353</v>
      </c>
      <c r="E2" s="18" t="n">
        <v>4</v>
      </c>
      <c r="F2" s="18" t="n">
        <f aca="false">COUNTIF(Wiring!$F$5:$F$125,A2)</f>
        <v>4</v>
      </c>
      <c r="G2" s="18" t="str">
        <f aca="false">IF(F2=E2,"OK","CHECK")</f>
        <v>OK</v>
      </c>
    </row>
    <row r="3" customFormat="false" ht="15" hidden="false" customHeight="false" outlineLevel="0" collapsed="false">
      <c r="A3" s="37" t="s">
        <v>219</v>
      </c>
      <c r="B3" s="18" t="s">
        <v>352</v>
      </c>
      <c r="C3" s="20" t="s">
        <v>221</v>
      </c>
      <c r="D3" s="20" t="s">
        <v>354</v>
      </c>
      <c r="E3" s="18" t="n">
        <v>13</v>
      </c>
      <c r="F3" s="18" t="n">
        <f aca="false">COUNTIF(Wiring!$F$5:$F$125,A3)</f>
        <v>13</v>
      </c>
      <c r="G3" s="18" t="str">
        <f aca="false">IF(F3=E3,"OK","CHECK")</f>
        <v>OK</v>
      </c>
    </row>
    <row r="4" customFormat="false" ht="23.85" hidden="false" customHeight="false" outlineLevel="0" collapsed="false">
      <c r="A4" s="37" t="s">
        <v>286</v>
      </c>
      <c r="B4" s="18" t="s">
        <v>352</v>
      </c>
      <c r="C4" s="20" t="s">
        <v>288</v>
      </c>
      <c r="D4" s="20" t="s">
        <v>355</v>
      </c>
      <c r="E4" s="18" t="n">
        <v>6</v>
      </c>
      <c r="F4" s="18" t="n">
        <f aca="false">COUNTIF(Wiring!$F$5:$F$125,A4)</f>
        <v>6</v>
      </c>
      <c r="G4" s="18" t="str">
        <f aca="false">IF(F4=E4,"OK","CHECK")</f>
        <v>OK</v>
      </c>
    </row>
    <row r="5" customFormat="false" ht="35.05" hidden="false" customHeight="false" outlineLevel="0" collapsed="false">
      <c r="A5" s="36" t="s">
        <v>215</v>
      </c>
      <c r="B5" s="18" t="s">
        <v>356</v>
      </c>
      <c r="C5" s="20" t="s">
        <v>217</v>
      </c>
      <c r="D5" s="20" t="s">
        <v>357</v>
      </c>
      <c r="E5" s="18" t="n">
        <v>27</v>
      </c>
      <c r="F5" s="18" t="n">
        <f aca="false">COUNTIF(Wiring!$F$5:$F$125,A5)</f>
        <v>27</v>
      </c>
      <c r="G5" s="18" t="str">
        <f aca="false">IF(F5=E5,"OK","CHECK")</f>
        <v>OK</v>
      </c>
    </row>
    <row r="6" customFormat="false" ht="15" hidden="false" customHeight="false" outlineLevel="0" collapsed="false">
      <c r="A6" s="36" t="s">
        <v>289</v>
      </c>
      <c r="B6" s="18" t="s">
        <v>356</v>
      </c>
      <c r="C6" s="20" t="s">
        <v>291</v>
      </c>
      <c r="D6" s="20" t="s">
        <v>358</v>
      </c>
      <c r="E6" s="18" t="n">
        <v>5</v>
      </c>
      <c r="F6" s="18" t="n">
        <f aca="false">COUNTIF(Wiring!$F$5:$F$125,A6)</f>
        <v>5</v>
      </c>
      <c r="G6" s="18" t="str">
        <f aca="false">IF(F6=E6,"OK","CHECK")</f>
        <v>OK</v>
      </c>
    </row>
    <row r="7" customFormat="false" ht="15" hidden="false" customHeight="false" outlineLevel="0" collapsed="false">
      <c r="A7" s="38" t="s">
        <v>210</v>
      </c>
      <c r="B7" s="18" t="s">
        <v>359</v>
      </c>
      <c r="C7" s="20" t="s">
        <v>212</v>
      </c>
      <c r="D7" s="20" t="s">
        <v>360</v>
      </c>
      <c r="E7" s="18" t="n">
        <v>3</v>
      </c>
      <c r="F7" s="18" t="n">
        <f aca="false">COUNTIF(Wiring!$F$5:$F$125,A7)</f>
        <v>3</v>
      </c>
      <c r="G7" s="18" t="str">
        <f aca="false">IF(F7=E7,"OK","CHECK")</f>
        <v>OK</v>
      </c>
    </row>
    <row r="8" customFormat="false" ht="15" hidden="false" customHeight="false" outlineLevel="0" collapsed="false">
      <c r="A8" s="38" t="s">
        <v>223</v>
      </c>
      <c r="B8" s="18" t="s">
        <v>359</v>
      </c>
      <c r="C8" s="20" t="s">
        <v>225</v>
      </c>
      <c r="D8" s="20" t="s">
        <v>361</v>
      </c>
      <c r="E8" s="18" t="n">
        <v>4</v>
      </c>
      <c r="F8" s="18" t="n">
        <f aca="false">COUNTIF(Wiring!$F$5:$F$125,A8)</f>
        <v>4</v>
      </c>
      <c r="G8" s="18" t="str">
        <f aca="false">IF(F8=E8,"OK","CHECK")</f>
        <v>OK</v>
      </c>
    </row>
    <row r="9" customFormat="false" ht="15" hidden="false" customHeight="false" outlineLevel="0" collapsed="false">
      <c r="A9" s="38" t="s">
        <v>244</v>
      </c>
      <c r="B9" s="18" t="s">
        <v>359</v>
      </c>
      <c r="C9" s="20" t="s">
        <v>246</v>
      </c>
      <c r="D9" s="20" t="s">
        <v>362</v>
      </c>
      <c r="E9" s="18" t="n">
        <v>3</v>
      </c>
      <c r="F9" s="18" t="n">
        <f aca="false">COUNTIF(Wiring!$F$5:$F$125,A9)</f>
        <v>3</v>
      </c>
      <c r="G9" s="18" t="str">
        <f aca="false">IF(F9=E9,"OK","CHECK")</f>
        <v>OK</v>
      </c>
    </row>
    <row r="10" customFormat="false" ht="15" hidden="false" customHeight="false" outlineLevel="0" collapsed="false">
      <c r="A10" s="38" t="s">
        <v>254</v>
      </c>
      <c r="B10" s="18" t="s">
        <v>359</v>
      </c>
      <c r="C10" s="20" t="s">
        <v>256</v>
      </c>
      <c r="D10" s="20" t="s">
        <v>363</v>
      </c>
      <c r="E10" s="18" t="n">
        <v>4</v>
      </c>
      <c r="F10" s="18" t="n">
        <f aca="false">COUNTIF(Wiring!$F$5:$F$125,A10)</f>
        <v>4</v>
      </c>
      <c r="G10" s="18" t="str">
        <f aca="false">IF(F10=E10,"OK","CHECK")</f>
        <v>OK</v>
      </c>
    </row>
    <row r="11" customFormat="false" ht="15" hidden="false" customHeight="false" outlineLevel="0" collapsed="false">
      <c r="A11" s="38" t="s">
        <v>258</v>
      </c>
      <c r="B11" s="18" t="s">
        <v>359</v>
      </c>
      <c r="C11" s="20" t="s">
        <v>260</v>
      </c>
      <c r="D11" s="20" t="s">
        <v>364</v>
      </c>
      <c r="E11" s="18" t="n">
        <v>4</v>
      </c>
      <c r="F11" s="18" t="n">
        <f aca="false">COUNTIF(Wiring!$F$5:$F$125,A11)</f>
        <v>4</v>
      </c>
      <c r="G11" s="18" t="str">
        <f aca="false">IF(F11=E11,"OK","CHECK")</f>
        <v>OK</v>
      </c>
    </row>
    <row r="12" customFormat="false" ht="15" hidden="false" customHeight="false" outlineLevel="0" collapsed="false">
      <c r="A12" s="38" t="s">
        <v>268</v>
      </c>
      <c r="B12" s="18" t="s">
        <v>359</v>
      </c>
      <c r="C12" s="20" t="s">
        <v>270</v>
      </c>
      <c r="D12" s="20" t="s">
        <v>365</v>
      </c>
      <c r="E12" s="18" t="n">
        <v>3</v>
      </c>
      <c r="F12" s="18" t="n">
        <f aca="false">COUNTIF(Wiring!$F$5:$F$125,A12)</f>
        <v>3</v>
      </c>
      <c r="G12" s="18" t="str">
        <f aca="false">IF(F12=E12,"OK","CHECK")</f>
        <v>OK</v>
      </c>
    </row>
    <row r="13" customFormat="false" ht="15" hidden="false" customHeight="false" outlineLevel="0" collapsed="false">
      <c r="A13" s="38" t="s">
        <v>272</v>
      </c>
      <c r="B13" s="18" t="s">
        <v>359</v>
      </c>
      <c r="C13" s="20" t="s">
        <v>274</v>
      </c>
      <c r="D13" s="20" t="s">
        <v>366</v>
      </c>
      <c r="E13" s="18" t="n">
        <v>4</v>
      </c>
      <c r="F13" s="18" t="n">
        <f aca="false">COUNTIF(Wiring!$F$5:$F$125,A13)</f>
        <v>4</v>
      </c>
      <c r="G13" s="18" t="str">
        <f aca="false">IF(F13=E13,"OK","CHECK")</f>
        <v>OK</v>
      </c>
    </row>
    <row r="14" customFormat="false" ht="15" hidden="false" customHeight="false" outlineLevel="0" collapsed="false">
      <c r="A14" s="38" t="s">
        <v>248</v>
      </c>
      <c r="B14" s="18" t="s">
        <v>359</v>
      </c>
      <c r="C14" s="20" t="s">
        <v>250</v>
      </c>
      <c r="D14" s="20" t="s">
        <v>367</v>
      </c>
      <c r="E14" s="18" t="n">
        <v>4</v>
      </c>
      <c r="F14" s="18" t="n">
        <f aca="false">COUNTIF(Wiring!$F$5:$F$125,A14)</f>
        <v>4</v>
      </c>
      <c r="G14" s="18" t="str">
        <f aca="false">IF(F14=E14,"OK","CHECK")</f>
        <v>OK</v>
      </c>
    </row>
    <row r="15" customFormat="false" ht="15" hidden="false" customHeight="false" outlineLevel="0" collapsed="false">
      <c r="A15" s="38" t="s">
        <v>309</v>
      </c>
      <c r="B15" s="18" t="s">
        <v>359</v>
      </c>
      <c r="C15" s="20" t="s">
        <v>311</v>
      </c>
      <c r="D15" s="20" t="s">
        <v>368</v>
      </c>
      <c r="E15" s="18" t="n">
        <v>5</v>
      </c>
      <c r="F15" s="18" t="n">
        <f aca="false">COUNTIF(Wiring!$F$5:$F$125,A15)</f>
        <v>5</v>
      </c>
      <c r="G15" s="18" t="str">
        <f aca="false">IF(F15=E15,"OK","CHECK")</f>
        <v>OK</v>
      </c>
    </row>
    <row r="16" customFormat="false" ht="15" hidden="false" customHeight="false" outlineLevel="0" collapsed="false">
      <c r="A16" s="38" t="s">
        <v>312</v>
      </c>
      <c r="B16" s="18" t="s">
        <v>359</v>
      </c>
      <c r="C16" s="20" t="s">
        <v>314</v>
      </c>
      <c r="D16" s="20" t="s">
        <v>369</v>
      </c>
      <c r="E16" s="18" t="n">
        <v>5</v>
      </c>
      <c r="F16" s="18" t="n">
        <f aca="false">COUNTIF(Wiring!$F$5:$F$125,A16)</f>
        <v>5</v>
      </c>
      <c r="G16" s="18" t="str">
        <f aca="false">IF(F16=E16,"OK","CHECK")</f>
        <v>OK</v>
      </c>
    </row>
    <row r="17" customFormat="false" ht="15" hidden="false" customHeight="false" outlineLevel="0" collapsed="false">
      <c r="A17" s="38" t="s">
        <v>321</v>
      </c>
      <c r="B17" s="18" t="s">
        <v>359</v>
      </c>
      <c r="C17" s="20" t="s">
        <v>323</v>
      </c>
      <c r="D17" s="20" t="s">
        <v>370</v>
      </c>
      <c r="E17" s="18" t="n">
        <v>2</v>
      </c>
      <c r="F17" s="18" t="n">
        <f aca="false">COUNTIF(Wiring!$F$5:$F$125,A17)</f>
        <v>2</v>
      </c>
      <c r="G17" s="18" t="str">
        <f aca="false">IF(F17=E17,"OK","CHECK")</f>
        <v>OK</v>
      </c>
    </row>
    <row r="18" customFormat="false" ht="15" hidden="false" customHeight="false" outlineLevel="0" collapsed="false">
      <c r="A18" s="44" t="s">
        <v>304</v>
      </c>
      <c r="B18" s="18" t="s">
        <v>371</v>
      </c>
      <c r="C18" s="20" t="s">
        <v>306</v>
      </c>
      <c r="D18" s="20" t="s">
        <v>372</v>
      </c>
      <c r="E18" s="18" t="n">
        <v>2</v>
      </c>
      <c r="F18" s="18" t="n">
        <f aca="false">COUNTIF(Wiring!$F$5:$F$125,A18)</f>
        <v>2</v>
      </c>
      <c r="G18" s="18" t="str">
        <f aca="false">IF(F18=E18,"OK","CHECK")</f>
        <v>OK</v>
      </c>
    </row>
    <row r="19" customFormat="false" ht="15" hidden="false" customHeight="false" outlineLevel="0" collapsed="false">
      <c r="A19" s="44" t="s">
        <v>299</v>
      </c>
      <c r="B19" s="18" t="s">
        <v>371</v>
      </c>
      <c r="C19" s="20" t="s">
        <v>301</v>
      </c>
      <c r="D19" s="20" t="s">
        <v>373</v>
      </c>
      <c r="E19" s="18" t="n">
        <v>4</v>
      </c>
      <c r="F19" s="18" t="n">
        <f aca="false">COUNTIF(Wiring!$F$5:$F$125,A19)</f>
        <v>4</v>
      </c>
      <c r="G19" s="18" t="str">
        <f aca="false">IF(F19=E19,"OK","CHECK")</f>
        <v>OK</v>
      </c>
    </row>
    <row r="20" customFormat="false" ht="15" hidden="false" customHeight="false" outlineLevel="0" collapsed="false">
      <c r="A20" s="42" t="s">
        <v>292</v>
      </c>
      <c r="B20" s="18" t="s">
        <v>374</v>
      </c>
      <c r="C20" s="20" t="s">
        <v>294</v>
      </c>
      <c r="D20" s="20" t="s">
        <v>375</v>
      </c>
      <c r="E20" s="18" t="n">
        <v>5</v>
      </c>
      <c r="F20" s="18" t="n">
        <f aca="false">COUNTIF(Wiring!$F$5:$F$125,A20)</f>
        <v>5</v>
      </c>
      <c r="G20" s="18" t="str">
        <f aca="false">IF(F20=E20,"OK","CHECK")</f>
        <v>OK</v>
      </c>
    </row>
    <row r="21" customFormat="false" ht="15" hidden="false" customHeight="false" outlineLevel="0" collapsed="false">
      <c r="A21" s="49" t="s">
        <v>333</v>
      </c>
      <c r="B21" s="18" t="s">
        <v>376</v>
      </c>
      <c r="C21" s="20" t="s">
        <v>335</v>
      </c>
      <c r="D21" s="20" t="s">
        <v>377</v>
      </c>
      <c r="E21" s="18" t="n">
        <v>4</v>
      </c>
      <c r="F21" s="18" t="n">
        <f aca="false">COUNTIF(Wiring!$F$5:$F$125,A21)</f>
        <v>4</v>
      </c>
      <c r="G21" s="18" t="str">
        <f aca="false">IF(F21=E21,"OK","CHECK")</f>
        <v>OK</v>
      </c>
    </row>
    <row r="22" customFormat="false" ht="15" hidden="false" customHeight="false" outlineLevel="0" collapsed="false">
      <c r="A22" s="49" t="s">
        <v>337</v>
      </c>
      <c r="B22" s="18" t="s">
        <v>376</v>
      </c>
      <c r="C22" s="20" t="s">
        <v>339</v>
      </c>
      <c r="D22" s="20" t="s">
        <v>378</v>
      </c>
      <c r="E22" s="18" t="n">
        <v>4</v>
      </c>
      <c r="F22" s="18" t="n">
        <f aca="false">COUNTIF(Wiring!$F$5:$F$125,A22)</f>
        <v>4</v>
      </c>
      <c r="G22" s="18" t="str">
        <f aca="false">IF(F22=E22,"OK","CHECK")</f>
        <v>OK</v>
      </c>
    </row>
    <row r="23" customFormat="false" ht="15" hidden="false" customHeight="false" outlineLevel="0" collapsed="false">
      <c r="A23" s="50" t="s">
        <v>327</v>
      </c>
      <c r="C23" s="50" t="s">
        <v>379</v>
      </c>
      <c r="D23" s="50" t="s">
        <v>380</v>
      </c>
    </row>
  </sheetData>
  <conditionalFormatting sqref="G2:G22">
    <cfRule type="expression" priority="2" aboveAverage="0" equalAverage="0" bottom="0" percent="0" rank="0" text="" dxfId="0">
      <formula>G2="OK"</formula>
    </cfRule>
    <cfRule type="expression" priority="3" aboveAverage="0" equalAverage="0" bottom="0" percent="0" rank="0" text="" dxfId="23">
      <formula>G2="CHECK"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20"/>
    <col collapsed="false" customWidth="true" hidden="false" outlineLevel="0" max="7" min="7" style="0" width="5"/>
  </cols>
  <sheetData>
    <row r="1" customFormat="false" ht="16.15" hidden="false" customHeight="false" outlineLevel="0" collapsed="false">
      <c r="A1" s="26" t="s">
        <v>381</v>
      </c>
    </row>
    <row r="3" customFormat="false" ht="15" hidden="false" customHeight="false" outlineLevel="0" collapsed="false">
      <c r="A3" s="16" t="s">
        <v>382</v>
      </c>
      <c r="B3" s="16" t="s">
        <v>346</v>
      </c>
      <c r="C3" s="16" t="s">
        <v>383</v>
      </c>
      <c r="D3" s="16" t="s">
        <v>205</v>
      </c>
      <c r="E3" s="16" t="s">
        <v>384</v>
      </c>
      <c r="F3" s="16" t="s">
        <v>385</v>
      </c>
    </row>
    <row r="4" customFormat="false" ht="15" hidden="false" customHeight="false" outlineLevel="0" collapsed="false">
      <c r="A4" s="51" t="s">
        <v>386</v>
      </c>
      <c r="B4" s="32" t="s">
        <v>387</v>
      </c>
      <c r="C4" s="30" t="s">
        <v>226</v>
      </c>
      <c r="D4" s="33" t="s">
        <v>210</v>
      </c>
      <c r="E4" s="32" t="s">
        <v>388</v>
      </c>
      <c r="F4" s="32" t="s">
        <v>389</v>
      </c>
      <c r="G4" s="52"/>
    </row>
    <row r="5" customFormat="false" ht="15" hidden="false" customHeight="false" outlineLevel="0" collapsed="false">
      <c r="A5" s="53"/>
      <c r="B5" s="20"/>
      <c r="C5" s="18" t="s">
        <v>229</v>
      </c>
      <c r="D5" s="36" t="s">
        <v>215</v>
      </c>
      <c r="E5" s="20" t="s">
        <v>390</v>
      </c>
      <c r="F5" s="20" t="s">
        <v>391</v>
      </c>
      <c r="G5" s="54"/>
    </row>
    <row r="6" customFormat="false" ht="15" hidden="false" customHeight="false" outlineLevel="0" collapsed="false">
      <c r="A6" s="53"/>
      <c r="B6" s="20"/>
      <c r="C6" s="18" t="s">
        <v>231</v>
      </c>
      <c r="D6" s="37" t="s">
        <v>219</v>
      </c>
      <c r="E6" s="20" t="s">
        <v>392</v>
      </c>
      <c r="F6" s="20" t="s">
        <v>393</v>
      </c>
      <c r="G6" s="55"/>
    </row>
    <row r="7" customFormat="false" ht="15" hidden="false" customHeight="false" outlineLevel="0" collapsed="false">
      <c r="A7" s="53"/>
      <c r="B7" s="20"/>
      <c r="C7" s="18" t="s">
        <v>233</v>
      </c>
      <c r="D7" s="38" t="s">
        <v>223</v>
      </c>
      <c r="E7" s="20" t="s">
        <v>394</v>
      </c>
      <c r="F7" s="20" t="s">
        <v>395</v>
      </c>
      <c r="G7" s="56"/>
    </row>
    <row r="8" customFormat="false" ht="15" hidden="false" customHeight="false" outlineLevel="0" collapsed="false">
      <c r="A8" s="51" t="s">
        <v>396</v>
      </c>
      <c r="B8" s="32" t="s">
        <v>397</v>
      </c>
      <c r="C8" s="30" t="s">
        <v>226</v>
      </c>
      <c r="D8" s="39" t="s">
        <v>237</v>
      </c>
      <c r="E8" s="32" t="s">
        <v>398</v>
      </c>
      <c r="F8" s="32" t="s">
        <v>393</v>
      </c>
      <c r="G8" s="57"/>
    </row>
    <row r="9" customFormat="false" ht="15" hidden="false" customHeight="false" outlineLevel="0" collapsed="false">
      <c r="A9" s="53"/>
      <c r="B9" s="20"/>
      <c r="C9" s="18" t="s">
        <v>229</v>
      </c>
      <c r="D9" s="37" t="s">
        <v>219</v>
      </c>
      <c r="E9" s="20" t="s">
        <v>399</v>
      </c>
      <c r="F9" s="20" t="s">
        <v>400</v>
      </c>
      <c r="G9" s="58"/>
    </row>
    <row r="10" customFormat="false" ht="15" hidden="false" customHeight="false" outlineLevel="0" collapsed="false">
      <c r="A10" s="53"/>
      <c r="B10" s="20"/>
      <c r="C10" s="18" t="s">
        <v>231</v>
      </c>
      <c r="D10" s="36" t="s">
        <v>215</v>
      </c>
      <c r="E10" s="20" t="s">
        <v>401</v>
      </c>
      <c r="F10" s="20" t="s">
        <v>391</v>
      </c>
      <c r="G10" s="54"/>
    </row>
    <row r="11" customFormat="false" ht="15" hidden="false" customHeight="false" outlineLevel="0" collapsed="false">
      <c r="A11" s="51" t="s">
        <v>402</v>
      </c>
      <c r="B11" s="32" t="s">
        <v>403</v>
      </c>
      <c r="C11" s="30" t="s">
        <v>226</v>
      </c>
      <c r="D11" s="33" t="s">
        <v>268</v>
      </c>
      <c r="E11" s="32" t="s">
        <v>404</v>
      </c>
      <c r="F11" s="32" t="s">
        <v>395</v>
      </c>
      <c r="G11" s="59"/>
    </row>
    <row r="12" customFormat="false" ht="15" hidden="false" customHeight="false" outlineLevel="0" collapsed="false">
      <c r="A12" s="53"/>
      <c r="B12" s="20"/>
      <c r="C12" s="18" t="s">
        <v>229</v>
      </c>
      <c r="D12" s="38" t="s">
        <v>309</v>
      </c>
      <c r="E12" s="20" t="s">
        <v>405</v>
      </c>
      <c r="F12" s="20" t="s">
        <v>406</v>
      </c>
      <c r="G12" s="60"/>
    </row>
    <row r="13" customFormat="false" ht="15" hidden="false" customHeight="false" outlineLevel="0" collapsed="false">
      <c r="A13" s="53"/>
      <c r="B13" s="20"/>
      <c r="C13" s="18" t="s">
        <v>231</v>
      </c>
      <c r="D13" s="44" t="s">
        <v>304</v>
      </c>
      <c r="E13" s="20" t="s">
        <v>407</v>
      </c>
      <c r="F13" s="20" t="s">
        <v>389</v>
      </c>
      <c r="G13" s="61"/>
    </row>
    <row r="14" customFormat="false" ht="15" hidden="false" customHeight="false" outlineLevel="0" collapsed="false">
      <c r="A14" s="53"/>
      <c r="B14" s="20"/>
      <c r="C14" s="18" t="s">
        <v>233</v>
      </c>
      <c r="D14" s="49" t="s">
        <v>333</v>
      </c>
      <c r="E14" s="20" t="s">
        <v>408</v>
      </c>
      <c r="F14" s="20" t="s">
        <v>409</v>
      </c>
      <c r="G14" s="62"/>
    </row>
    <row r="15" customFormat="false" ht="15" hidden="false" customHeight="false" outlineLevel="0" collapsed="false">
      <c r="A15" s="53"/>
      <c r="B15" s="20"/>
      <c r="C15" s="18" t="s">
        <v>277</v>
      </c>
      <c r="D15" s="49" t="s">
        <v>337</v>
      </c>
      <c r="E15" s="20" t="s">
        <v>410</v>
      </c>
      <c r="F15" s="20" t="s">
        <v>411</v>
      </c>
      <c r="G15" s="63"/>
    </row>
    <row r="16" customFormat="false" ht="15" hidden="false" customHeight="false" outlineLevel="0" collapsed="false">
      <c r="A16" s="51" t="s">
        <v>412</v>
      </c>
      <c r="B16" s="32" t="s">
        <v>118</v>
      </c>
      <c r="C16" s="30" t="s">
        <v>226</v>
      </c>
      <c r="D16" s="39" t="s">
        <v>286</v>
      </c>
      <c r="E16" s="32" t="s">
        <v>413</v>
      </c>
      <c r="F16" s="32" t="s">
        <v>414</v>
      </c>
      <c r="G16" s="57"/>
    </row>
    <row r="17" customFormat="false" ht="15" hidden="false" customHeight="false" outlineLevel="0" collapsed="false">
      <c r="A17" s="53"/>
      <c r="B17" s="20"/>
      <c r="C17" s="18" t="s">
        <v>229</v>
      </c>
      <c r="D17" s="36" t="s">
        <v>289</v>
      </c>
      <c r="E17" s="20" t="s">
        <v>415</v>
      </c>
      <c r="F17" s="20" t="s">
        <v>416</v>
      </c>
      <c r="G17" s="54"/>
    </row>
    <row r="18" customFormat="false" ht="15" hidden="false" customHeight="false" outlineLevel="0" collapsed="false">
      <c r="A18" s="51" t="s">
        <v>417</v>
      </c>
      <c r="B18" s="32" t="s">
        <v>418</v>
      </c>
      <c r="C18" s="30" t="s">
        <v>226</v>
      </c>
      <c r="D18" s="39" t="s">
        <v>286</v>
      </c>
      <c r="E18" s="32" t="s">
        <v>419</v>
      </c>
      <c r="F18" s="32" t="s">
        <v>393</v>
      </c>
      <c r="G18" s="57"/>
    </row>
    <row r="19" customFormat="false" ht="15" hidden="false" customHeight="false" outlineLevel="0" collapsed="false">
      <c r="A19" s="53"/>
      <c r="B19" s="20"/>
      <c r="C19" s="18" t="s">
        <v>229</v>
      </c>
      <c r="D19" s="42" t="s">
        <v>292</v>
      </c>
      <c r="E19" s="20" t="s">
        <v>420</v>
      </c>
      <c r="F19" s="20" t="s">
        <v>391</v>
      </c>
      <c r="G19" s="54"/>
    </row>
    <row r="20" customFormat="false" ht="15" hidden="false" customHeight="false" outlineLevel="0" collapsed="false">
      <c r="A20" s="51" t="s">
        <v>421</v>
      </c>
      <c r="B20" s="32" t="s">
        <v>387</v>
      </c>
      <c r="C20" s="30" t="s">
        <v>226</v>
      </c>
      <c r="D20" s="33" t="s">
        <v>309</v>
      </c>
      <c r="E20" s="32" t="s">
        <v>422</v>
      </c>
      <c r="F20" s="32" t="s">
        <v>406</v>
      </c>
      <c r="G20" s="64"/>
    </row>
    <row r="21" customFormat="false" ht="15" hidden="false" customHeight="false" outlineLevel="0" collapsed="false">
      <c r="A21" s="53"/>
      <c r="B21" s="20"/>
      <c r="C21" s="18" t="s">
        <v>229</v>
      </c>
      <c r="D21" s="36" t="s">
        <v>215</v>
      </c>
      <c r="E21" s="20" t="s">
        <v>423</v>
      </c>
      <c r="F21" s="20" t="s">
        <v>391</v>
      </c>
      <c r="G21" s="54"/>
    </row>
    <row r="22" customFormat="false" ht="15" hidden="false" customHeight="false" outlineLevel="0" collapsed="false">
      <c r="A22" s="53"/>
      <c r="B22" s="20"/>
      <c r="C22" s="18" t="s">
        <v>231</v>
      </c>
      <c r="D22" s="38" t="s">
        <v>312</v>
      </c>
      <c r="E22" s="20" t="s">
        <v>424</v>
      </c>
      <c r="F22" s="20" t="s">
        <v>425</v>
      </c>
      <c r="G22" s="65"/>
    </row>
    <row r="23" customFormat="false" ht="15" hidden="false" customHeight="false" outlineLevel="0" collapsed="false">
      <c r="A23" s="53"/>
      <c r="B23" s="20"/>
      <c r="C23" s="18" t="s">
        <v>233</v>
      </c>
      <c r="D23" s="36" t="s">
        <v>215</v>
      </c>
      <c r="E23" s="20" t="s">
        <v>426</v>
      </c>
      <c r="F23" s="20" t="s">
        <v>391</v>
      </c>
      <c r="G23" s="54"/>
    </row>
    <row r="24" customFormat="false" ht="15" hidden="false" customHeight="false" outlineLevel="0" collapsed="false">
      <c r="A24" s="51" t="s">
        <v>427</v>
      </c>
      <c r="B24" s="32" t="s">
        <v>387</v>
      </c>
      <c r="C24" s="30" t="s">
        <v>226</v>
      </c>
      <c r="D24" s="39" t="s">
        <v>219</v>
      </c>
      <c r="E24" s="32" t="s">
        <v>428</v>
      </c>
      <c r="F24" s="32" t="s">
        <v>393</v>
      </c>
      <c r="G24" s="57"/>
    </row>
    <row r="25" customFormat="false" ht="15" hidden="false" customHeight="false" outlineLevel="0" collapsed="false">
      <c r="A25" s="53"/>
      <c r="B25" s="20"/>
      <c r="C25" s="18" t="s">
        <v>229</v>
      </c>
      <c r="D25" s="36" t="s">
        <v>215</v>
      </c>
      <c r="E25" s="20" t="s">
        <v>429</v>
      </c>
      <c r="F25" s="20" t="s">
        <v>391</v>
      </c>
      <c r="G25" s="54"/>
    </row>
    <row r="26" customFormat="false" ht="15" hidden="false" customHeight="false" outlineLevel="0" collapsed="false">
      <c r="A26" s="53"/>
      <c r="B26" s="20"/>
      <c r="C26" s="18" t="s">
        <v>231</v>
      </c>
      <c r="D26" s="49" t="s">
        <v>333</v>
      </c>
      <c r="E26" s="20" t="s">
        <v>430</v>
      </c>
      <c r="F26" s="20" t="s">
        <v>409</v>
      </c>
      <c r="G26" s="62"/>
    </row>
    <row r="27" customFormat="false" ht="15" hidden="false" customHeight="false" outlineLevel="0" collapsed="false">
      <c r="A27" s="53"/>
      <c r="B27" s="20"/>
      <c r="C27" s="18" t="s">
        <v>233</v>
      </c>
      <c r="D27" s="49" t="s">
        <v>337</v>
      </c>
      <c r="E27" s="20" t="s">
        <v>431</v>
      </c>
      <c r="F27" s="20" t="s">
        <v>411</v>
      </c>
      <c r="G27" s="63"/>
    </row>
    <row r="28" customFormat="false" ht="15" hidden="false" customHeight="false" outlineLevel="0" collapsed="false">
      <c r="A28" s="51" t="s">
        <v>432</v>
      </c>
      <c r="B28" s="32" t="s">
        <v>403</v>
      </c>
      <c r="C28" s="30" t="s">
        <v>226</v>
      </c>
      <c r="D28" s="39" t="s">
        <v>219</v>
      </c>
      <c r="E28" s="32" t="s">
        <v>433</v>
      </c>
      <c r="F28" s="32" t="s">
        <v>393</v>
      </c>
      <c r="G28" s="57"/>
    </row>
    <row r="29" customFormat="false" ht="15" hidden="false" customHeight="false" outlineLevel="0" collapsed="false">
      <c r="A29" s="53"/>
      <c r="B29" s="20"/>
      <c r="C29" s="18" t="s">
        <v>229</v>
      </c>
      <c r="D29" s="36" t="s">
        <v>215</v>
      </c>
      <c r="E29" s="20" t="s">
        <v>429</v>
      </c>
      <c r="F29" s="20" t="s">
        <v>391</v>
      </c>
      <c r="G29" s="54"/>
    </row>
    <row r="30" customFormat="false" ht="15" hidden="false" customHeight="false" outlineLevel="0" collapsed="false">
      <c r="A30" s="53"/>
      <c r="B30" s="20"/>
      <c r="C30" s="18" t="s">
        <v>231</v>
      </c>
      <c r="D30" s="49" t="s">
        <v>333</v>
      </c>
      <c r="E30" s="20" t="s">
        <v>430</v>
      </c>
      <c r="F30" s="20" t="s">
        <v>409</v>
      </c>
      <c r="G30" s="62"/>
    </row>
    <row r="31" customFormat="false" ht="15" hidden="false" customHeight="false" outlineLevel="0" collapsed="false">
      <c r="A31" s="53"/>
      <c r="B31" s="20"/>
      <c r="C31" s="18" t="s">
        <v>233</v>
      </c>
      <c r="D31" s="49" t="s">
        <v>337</v>
      </c>
      <c r="E31" s="20" t="s">
        <v>431</v>
      </c>
      <c r="F31" s="20" t="s">
        <v>411</v>
      </c>
      <c r="G31" s="63"/>
    </row>
    <row r="32" customFormat="false" ht="15" hidden="false" customHeight="false" outlineLevel="0" collapsed="false">
      <c r="A32" s="53"/>
      <c r="B32" s="20"/>
      <c r="C32" s="18" t="s">
        <v>277</v>
      </c>
      <c r="D32" s="36" t="s">
        <v>215</v>
      </c>
      <c r="E32" s="20" t="s">
        <v>434</v>
      </c>
      <c r="F32" s="20" t="s">
        <v>391</v>
      </c>
      <c r="G32" s="54"/>
    </row>
    <row r="33" customFormat="false" ht="15" hidden="false" customHeight="false" outlineLevel="0" collapsed="false">
      <c r="A33" s="51" t="s">
        <v>435</v>
      </c>
      <c r="B33" s="32" t="s">
        <v>387</v>
      </c>
      <c r="C33" s="30" t="s">
        <v>226</v>
      </c>
      <c r="D33" s="39" t="s">
        <v>219</v>
      </c>
      <c r="E33" s="32" t="s">
        <v>428</v>
      </c>
      <c r="F33" s="32" t="s">
        <v>393</v>
      </c>
      <c r="G33" s="57"/>
    </row>
    <row r="34" customFormat="false" ht="15" hidden="false" customHeight="false" outlineLevel="0" collapsed="false">
      <c r="A34" s="53"/>
      <c r="B34" s="20"/>
      <c r="C34" s="18" t="s">
        <v>229</v>
      </c>
      <c r="D34" s="36" t="s">
        <v>215</v>
      </c>
      <c r="E34" s="20" t="s">
        <v>429</v>
      </c>
      <c r="F34" s="20" t="s">
        <v>391</v>
      </c>
      <c r="G34" s="54"/>
    </row>
    <row r="35" customFormat="false" ht="15" hidden="false" customHeight="false" outlineLevel="0" collapsed="false">
      <c r="A35" s="53"/>
      <c r="B35" s="20"/>
      <c r="C35" s="18" t="s">
        <v>231</v>
      </c>
      <c r="D35" s="49" t="s">
        <v>333</v>
      </c>
      <c r="E35" s="20" t="s">
        <v>430</v>
      </c>
      <c r="F35" s="20" t="s">
        <v>409</v>
      </c>
      <c r="G35" s="62"/>
    </row>
    <row r="36" customFormat="false" ht="15" hidden="false" customHeight="false" outlineLevel="0" collapsed="false">
      <c r="A36" s="53"/>
      <c r="B36" s="20"/>
      <c r="C36" s="18" t="s">
        <v>233</v>
      </c>
      <c r="D36" s="49" t="s">
        <v>337</v>
      </c>
      <c r="E36" s="20" t="s">
        <v>431</v>
      </c>
      <c r="F36" s="20" t="s">
        <v>411</v>
      </c>
      <c r="G36" s="63"/>
    </row>
    <row r="38" customFormat="false" ht="15" hidden="false" customHeight="false" outlineLevel="0" collapsed="false">
      <c r="A38" s="66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2026-10-22T06:44:57Z</dcterms:created>
  <dc:creator>openpyxl</dc:creator>
  <dc:description/>
  <dc:language>en-US</dc:language>
  <cp:lastModifiedBy/>
  <dcterms:modified xsi:type="dcterms:W3CDTF">2026-10-22T06:44:58Z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