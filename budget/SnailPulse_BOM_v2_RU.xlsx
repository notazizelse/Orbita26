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ilPulse 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sz val="11"/>
    </font>
    <font>
      <name val="Arial"/>
      <color rgb="00444444"/>
      <sz val="9"/>
    </font>
    <font>
      <name val="Arial"/>
      <sz val="10"/>
    </font>
    <font>
      <name val="Arial"/>
      <color rgb="000563C1"/>
      <sz val="10"/>
      <u val="single"/>
    </font>
    <font>
      <name val="Arial"/>
      <color rgb="000000FF"/>
      <sz val="10"/>
    </font>
    <font>
      <name val="Arial"/>
      <i val="1"/>
      <color rgb="00999999"/>
      <sz val="9"/>
    </font>
    <font>
      <name val="Arial"/>
      <b val="1"/>
      <sz val="10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DCE6F1"/>
        <bgColor rgb="00DCE6F1"/>
      </patternFill>
    </fill>
    <fill>
      <patternFill patternType="solid">
        <fgColor rgb="00FFF4D6"/>
        <bgColor rgb="00FFF4D6"/>
      </patternFill>
    </fill>
    <fill>
      <patternFill patternType="solid">
        <fgColor rgb="00FCE4D6"/>
        <bgColor rgb="00FCE4D6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3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vertical="center" wrapText="1"/>
    </xf>
    <xf numFmtId="3" fontId="6" fillId="4" borderId="1" applyAlignment="1" pivotButton="0" quotePrefix="0" xfId="0">
      <alignment vertical="center" wrapText="1"/>
    </xf>
    <xf numFmtId="0" fontId="9" fillId="4" borderId="1" applyAlignment="1" pivotButton="0" quotePrefix="0" xfId="0">
      <alignment horizontal="center" vertical="center"/>
    </xf>
    <xf numFmtId="0" fontId="10" fillId="0" borderId="0" pivotButton="0" quotePrefix="0" xfId="0"/>
    <xf numFmtId="3" fontId="10" fillId="0" borderId="0" pivotButton="0" quotePrefix="0" xfId="0"/>
    <xf numFmtId="0" fontId="6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vertical="center" wrapText="1"/>
    </xf>
    <xf numFmtId="3" fontId="6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vertical="center" wrapText="1"/>
    </xf>
    <xf numFmtId="3" fontId="6" fillId="6" borderId="1" applyAlignment="1" pivotButton="0" quotePrefix="0" xfId="0">
      <alignment vertical="center" wrapText="1"/>
    </xf>
    <xf numFmtId="0" fontId="9" fillId="6" borderId="1" applyAlignment="1" pivotButton="0" quotePrefix="0" xfId="0">
      <alignment horizontal="center" vertical="center"/>
    </xf>
    <xf numFmtId="0" fontId="11" fillId="0" borderId="0" pivotButton="0" quotePrefix="0" xfId="0"/>
    <xf numFmtId="3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/Relationships>
</file>

<file path=xl/drawings/drawing1.xml><?xml version="1.0" encoding="utf-8"?>
<wsDr xmlns="http://schemas.openxmlformats.org/drawingml/2006/spreadsheetDrawing">
  <oneCellAnchor>
    <from>
      <col>4</col>
      <colOff>0</colOff>
      <row>5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11430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1143000" cy="114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1143000" cy="114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1143000" cy="114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1143000" cy="114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1143000" cy="114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</row>
      <rowOff>0</rowOff>
    </from>
    <ext cx="1143000" cy="114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</row>
      <rowOff>0</rowOff>
    </from>
    <ext cx="1143000" cy="114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24</row>
      <rowOff>0</rowOff>
    </from>
    <ext cx="1143000" cy="114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25</row>
      <rowOff>0</rowOff>
    </from>
    <ext cx="1143000" cy="114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26</row>
      <rowOff>0</rowOff>
    </from>
    <ext cx="1143000" cy="114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27</row>
      <rowOff>0</rowOff>
    </from>
    <ext cx="1143000" cy="114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31</row>
      <rowOff>0</rowOff>
    </from>
    <ext cx="1143000" cy="114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32</row>
      <rowOff>0</rowOff>
    </from>
    <ext cx="1143000" cy="114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33</row>
      <rowOff>0</rowOff>
    </from>
    <ext cx="1143000" cy="114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35</row>
      <rowOff>0</rowOff>
    </from>
    <ext cx="1143000" cy="114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36</row>
      <rowOff>0</rowOff>
    </from>
    <ext cx="1143000" cy="114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37</row>
      <rowOff>0</rowOff>
    </from>
    <ext cx="1143000" cy="114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38</row>
      <rowOff>0</rowOff>
    </from>
    <ext cx="1143000" cy="114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39</row>
      <rowOff>0</rowOff>
    </from>
    <ext cx="1143000" cy="114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lectron.uz/product/mcp6002-dip8/" TargetMode="External" Id="rId1"/><Relationship Type="http://schemas.openxmlformats.org/officeDocument/2006/relationships/hyperlink" Target="https://electron.uz/product/lm393n-dip8/" TargetMode="External" Id="rId2"/><Relationship Type="http://schemas.openxmlformats.org/officeDocument/2006/relationships/hyperlink" Target="https://electron.uz/product/irlz44/" TargetMode="External" Id="rId3"/><Relationship Type="http://schemas.openxmlformats.org/officeDocument/2006/relationships/hyperlink" Target="https://electron.uz/product/scs-8-dip-8pin-%D0%BF%D0%B0%D0%BD%D0%B5%D0%BB%D1%8C%D0%BA%D0%B8-%D0%BF%D0%BE%D0%B4-%D0%BC%D0%B8%D0%BA%D1%80%D0%BE%D1%81%D1%85%D0%B5%D0%BC%D1%8B/" TargetMode="External" Id="rId4"/><Relationship Type="http://schemas.openxmlformats.org/officeDocument/2006/relationships/hyperlink" Target="https://electron.uz/product/%D0%BD%D0%B0%D0%B1%D0%BE%D1%80-%D1%80%D0%B5%D0%B7%D0%B8%D1%81%D1%82%D0%BE%D1%80%D0%BE%D0%B2-025%D0%B2%D1%82-300-%D1%88%D1%8230-%D0%B7%D0%BD%D0%B0%D1%87%D0%B5%D0%BD%D0%B8%D0%B9/" TargetMode="External" Id="rId5"/><Relationship Type="http://schemas.openxmlformats.org/officeDocument/2006/relationships/hyperlink" Target="https://electron.uz/product/150om-5w/" TargetMode="External" Id="rId6"/><Relationship Type="http://schemas.openxmlformats.org/officeDocument/2006/relationships/hyperlink" Target="https://electron.uz/product/%D1%82%D0%B5%D1%80%D0%BC%D0%BE%D1%80%D0%B5%D0%B7%D0%B8%D1%81%D1%82%D0%BE%D1%80-ntc-mf58-10k/" TargetMode="External" Id="rId7"/><Relationship Type="http://schemas.openxmlformats.org/officeDocument/2006/relationships/hyperlink" Target="https://electron.uz/product/50kom-3296w-1-503lf/" TargetMode="External" Id="rId8"/><Relationship Type="http://schemas.openxmlformats.org/officeDocument/2006/relationships/hyperlink" Target="https://electron.uz/product/10kom-3296w-1-103lf/" TargetMode="External" Id="rId9"/><Relationship Type="http://schemas.openxmlformats.org/officeDocument/2006/relationships/hyperlink" Target="https://electron.uz/product/105-50v-1mf-ceramic/" TargetMode="External" Id="rId10"/><Relationship Type="http://schemas.openxmlformats.org/officeDocument/2006/relationships/hyperlink" Target="https://electron.uz/product/474-50v-470nf-ceramic/" TargetMode="External" Id="rId11"/><Relationship Type="http://schemas.openxmlformats.org/officeDocument/2006/relationships/hyperlink" Target="https://electron.uz/product/104-50v-ceramicdisk/" TargetMode="External" Id="rId12"/><Relationship Type="http://schemas.openxmlformats.org/officeDocument/2006/relationships/hyperlink" Target="https://electron.uz/product/10mf-50v-5x115/" TargetMode="External" Id="rId13"/><Relationship Type="http://schemas.openxmlformats.org/officeDocument/2006/relationships/hyperlink" Target="https://electron.uz/product/fz0225-%D0%BC%D0%BE%D0%B4%D1%83%D0%BB%D1%8C-%D0%B4%D0%B0%D1%82%D1%87%D0%B8%D0%BA%D0%B0-%D0%BE%D1%82%D1%81%D0%BB%D0%B5%D0%B6%D0%B8%D0%B2%D0%B0%D0%BD%D0%B8%D1%8F-%D0%BB%D0%B8%D0%BD%D0%B8%D0%B8/" TargetMode="External" Id="rId14"/><Relationship Type="http://schemas.openxmlformats.org/officeDocument/2006/relationships/hyperlink" Target="https://electron.uz/product/%D0%BE%D0%BA%D1%81%D0%B8%D0%BC%D0%B5%D1%82%D1%80-%D0%BF%D1%83%D0%BB%D1%8C%D1%81%D0%B0-gy-30100-max30100/" TargetMode="External" Id="rId15"/><Relationship Type="http://schemas.openxmlformats.org/officeDocument/2006/relationships/hyperlink" Target="https://electron.uz/product/gy-21-sht21-%D1%86%D0%B8%D1%84%D1%80%D0%BE%D0%B2%D0%BE%D0%B9-%D0%BC%D0%BE%D0%B4%D1%83%D0%BB%D1%8C-%D0%B4%D0%B0%D1%82%D1%87%D0%B8%D0%BA%D0%B0-%D0%B2%D0%BB%D0%B0%D0%B6%D0%BD%D0%BE%D1%81%D1%82%D0%B8/" TargetMode="External" Id="rId16"/><Relationship Type="http://schemas.openxmlformats.org/officeDocument/2006/relationships/hyperlink" Target="https://electron.uz/product/%D0%B1%D0%B0%D1%80%D0%BE%D0%BC%D0%B5%D1%82%D1%80-bmp280-%D0%B4%D0%B0%D1%82%D1%87%D0%B8%D0%BA-%D0%B0%D1%82%D0%BC%D0%BE%D1%81%D1%84%D0%B5%D1%80%D0%BD%D0%BE%D0%B3%D0%BE-%D0%B4%D0%B0%D0%B2%D0%BB%D0%B5/" TargetMode="External" Id="rId17"/><Relationship Type="http://schemas.openxmlformats.org/officeDocument/2006/relationships/hyperlink" Target="https://electron.uz/product/xt30-%D1%80%D0%B0%D0%B7%D1%8A%D0%B5%D0%BC-2/" TargetMode="External" Id="rId18"/><Relationship Type="http://schemas.openxmlformats.org/officeDocument/2006/relationships/hyperlink" Target="https://electron.uz/product/%D0%BA%D0%BB%D0%B5%D0%BC%D0%BC%D0%B0-kf2edg-2pin-508mm-%D0%BF%D0%B0%D1%80%D0%B0/" TargetMode="External" Id="rId19"/><Relationship Type="http://schemas.openxmlformats.org/officeDocument/2006/relationships/hyperlink" Target="https://electron.uz/product/%d0%bd%d0%b0%d0%b1%d0%be%d1%80-%d1%80%d0%b0%d0%b7%d1%8a%d0%b5%d0%bc%d0%be%d0%b2-xh2-54-80%d1%88%d1%822p-3p-4p-5p-2-54%d0%bc%d0%bc-%d0%bf%d0%b0%d0%bf%d0%b0-%d0%bc%d0%b0%d0%bc%d0%b0/" TargetMode="External" Id="rId20"/><Relationship Type="http://schemas.openxmlformats.org/officeDocument/2006/relationships/hyperlink" Target="https://electron.uz/product/2%d0%bc-%d0%ba%d0%b0%d0%b1%d0%b5%d0%bb%d1%8c-%d1%82%d0%b5%d0%bb%d0%b5%d1%84%d0%be%d0%bd%d0%bd%d0%be%d0%b9-%d0%bb%d0%b8%d0%bd%d0%b8%d0%b8/" TargetMode="External" Id="rId21"/><Relationship Type="http://schemas.openxmlformats.org/officeDocument/2006/relationships/hyperlink" Target="https://electron.uz/product/3239-24awg021mm2-10%d0%bc%d0%b5%d1%82%d1%80-%d0%bf%d1%80%d0%be%d0%b2%d0%be%d0%b4-%d0%bc%d0%be%d0%bd%d1%82%d0%b0%d0%b6%d0%bd%d1%8b%d0%b9-%d1%81%d0%b8%d0%bb%d0%b8%d0%ba%d0%be%d0%bd%d0%be%d0%b2%d1%8b/" TargetMode="External" Id="rId22"/><Relationship Type="http://schemas.openxmlformats.org/officeDocument/2006/relationships/hyperlink" Target="https://electron.uz/product/%d0%ba%d0%b5%d0%bc%d0%b1%d1%80%d0%b8%d0%ba-%d1%82%d0%b5%d1%80%d0%bc%d0%be%d1%83%d1%81%d0%b0%d0%b4%d0%ba%d0%b0-%d0%bd%d0%b0%d0%b1%d0%be%d1%80-ncl-100%d1%88%d1%82-%d0%ba%d0%be%d0%bc%d0%bf%d0%bb%d0%b5/" TargetMode="External" Id="rId23"/><Relationship Type="http://schemas.openxmlformats.org/officeDocument/2006/relationships/hyperlink" Target="https://electron.uz/product/10mm-x30m-%d0%ba%d0%b0%d0%bf%d1%82%d0%be%d0%bd%d0%be%d0%b2%d1%8b%d0%b9-%d1%81%d0%ba%d0%be%d1%82%d1%87-%d1%82%d0%b5%d1%80%d0%bc%d0%be%d1%81%d1%82%d0%be%d0%b9%d0%ba%d0%b8%d0%b9-%d0%b2%d1%8b%d1%81%d0%be/" TargetMode="External" Id="rId24"/><Relationship Type="http://schemas.openxmlformats.org/officeDocument/2006/relationships/hyperlink" Target="https://electron.uz/?s=%D1%86%D0%B0%D0%BF%D0%BE%D0%BD%D0%BB%D0%B0%D0%BA&amp;post_type=product" TargetMode="External" Id="rId25"/><Relationship Type="http://schemas.openxmlformats.org/officeDocument/2006/relationships/hyperlink" Target="https://electron.uz/product/9x15-%D0%BC%D0%BE%D0%BD%D1%82%D0%B0%D0%B6%D0%BD%D0%B0%D1%8F-%D0%BF%D0%BB%D0%B0%D1%82%D0%B0-%D0%B7%D0%B5%D0%BB-1%D1%81%D1%82%D0%BE%D1%80%D0%BE%D0%BD%D1%8F%D1%8F/" TargetMode="External" Id="rId26"/><Relationship Type="http://schemas.openxmlformats.org/officeDocument/2006/relationships/drawing" Target="/xl/drawings/drawing1.xml" Id="rId27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10" customWidth="1" min="4" max="4"/>
    <col width="18" customWidth="1" min="5" max="5"/>
    <col width="6" customWidth="1" min="6" max="6"/>
    <col width="7" customWidth="1" min="7" max="7"/>
    <col width="8" customWidth="1" min="8" max="8"/>
    <col width="14" customWidth="1" min="9" max="9"/>
    <col width="13" customWidth="1" min="10" max="10"/>
    <col width="36" customWidth="1" min="11" max="11"/>
    <col width="44" customWidth="1" min="12" max="12"/>
  </cols>
  <sheetData>
    <row r="1">
      <c r="A1" s="1" t="inlineStr">
        <is>
          <t>Orbita SnailPulse — смета комплектующих (Microelectronica, electron.uz)</t>
        </is>
      </c>
    </row>
    <row r="2">
      <c r="A2" s="2" t="inlineStr">
        <is>
          <t>Зелёные строки — добавлено после сверки со схемой · оранжевые — изменено количество</t>
        </is>
      </c>
    </row>
    <row r="3"/>
    <row r="4" ht="30" customHeight="1">
      <c r="A4" s="3" t="inlineStr">
        <is>
          <t>Компонент</t>
        </is>
      </c>
      <c r="B4" s="3" t="inlineStr">
        <is>
          <t>Маркировка</t>
        </is>
      </c>
      <c r="C4" s="3" t="inlineStr">
        <is>
          <t>Характеристики</t>
        </is>
      </c>
      <c r="D4" s="3" t="inlineStr">
        <is>
          <t>Ссылка</t>
        </is>
      </c>
      <c r="E4" s="3" t="inlineStr">
        <is>
          <t>Фото</t>
        </is>
      </c>
      <c r="F4" s="3" t="inlineStr">
        <is>
          <t>Кол-во</t>
        </is>
      </c>
      <c r="G4" s="3" t="inlineStr">
        <is>
          <t>Запас</t>
        </is>
      </c>
      <c r="H4" s="3" t="inlineStr">
        <is>
          <t>Всего</t>
        </is>
      </c>
      <c r="I4" s="3" t="inlineStr">
        <is>
          <t>Цена за шт (сум)</t>
        </is>
      </c>
      <c r="J4" s="3" t="inlineStr">
        <is>
          <t>Сумма (сум)</t>
        </is>
      </c>
      <c r="K4" s="3" t="inlineStr">
        <is>
          <t>Название на сайте (показать продавцу)</t>
        </is>
      </c>
      <c r="L4" s="3" t="inlineStr">
        <is>
          <t>Примечание</t>
        </is>
      </c>
    </row>
    <row r="5">
      <c r="A5" s="4" t="inlineStr">
        <is>
          <t>Активные компоненты (микросхемы, транзисторы)</t>
        </is>
      </c>
      <c r="B5" s="5" t="n"/>
      <c r="C5" s="6" t="inlineStr">
        <is>
          <t>Отдел радиодеталей · +998 95 199-04-61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96" customHeight="1">
      <c r="A6" s="7" t="inlineStr">
        <is>
          <t>Операционный усилитель, сдвоенный</t>
        </is>
      </c>
      <c r="B6" s="7" t="inlineStr">
        <is>
          <t>MCP6002-I/P</t>
        </is>
      </c>
      <c r="C6" s="7" t="inlineStr">
        <is>
          <t>DIP-8 · rail-to-rail вход/выход · 1,8–6 В · 1 МГц</t>
        </is>
      </c>
      <c r="D6" s="8" t="inlineStr">
        <is>
          <t>Открыть</t>
        </is>
      </c>
      <c r="E6" s="7" t="n"/>
      <c r="F6" s="9" t="n">
        <v>1</v>
      </c>
      <c r="G6" s="9" t="n">
        <v>1</v>
      </c>
      <c r="H6" s="9">
        <f>F6+G6</f>
        <v/>
      </c>
      <c r="I6" s="10" t="n">
        <v>6800</v>
      </c>
      <c r="J6" s="11">
        <f>H6*I6</f>
        <v/>
      </c>
      <c r="K6" s="7" t="inlineStr">
        <is>
          <t>MCP6002 DIP8</t>
        </is>
      </c>
      <c r="L6" s="7" t="inlineStr">
        <is>
          <t>U2 — усилитель + буфер опорного 1,65 В</t>
        </is>
      </c>
    </row>
    <row r="7" ht="96" customHeight="1">
      <c r="A7" s="7" t="inlineStr">
        <is>
          <t>Компаратор, сдвоенный</t>
        </is>
      </c>
      <c r="B7" s="7" t="inlineStr">
        <is>
          <t>LM393N</t>
        </is>
      </c>
      <c r="C7" s="7" t="inlineStr">
        <is>
          <t>DIP-8 · выход с открытым коллектором · питание 2–36 В</t>
        </is>
      </c>
      <c r="D7" s="8" t="inlineStr">
        <is>
          <t>Открыть</t>
        </is>
      </c>
      <c r="E7" s="7" t="n"/>
      <c r="F7" s="9" t="n">
        <v>1</v>
      </c>
      <c r="G7" s="9" t="n">
        <v>1</v>
      </c>
      <c r="H7" s="9">
        <f>F7+G7</f>
        <v/>
      </c>
      <c r="I7" s="10" t="n">
        <v>3400</v>
      </c>
      <c r="J7" s="11">
        <f>H7*I7</f>
        <v/>
      </c>
      <c r="K7" s="7" t="inlineStr">
        <is>
          <t>LM393N DIP8</t>
        </is>
      </c>
      <c r="L7" s="7" t="inlineStr">
        <is>
          <t>U5 — аппаратное отключение нагревателя при 40 °C</t>
        </is>
      </c>
    </row>
    <row r="8" ht="96" customHeight="1">
      <c r="A8" s="7" t="inlineStr">
        <is>
          <t>MOSFET N-канальный, логический уровень</t>
        </is>
      </c>
      <c r="B8" s="7" t="inlineStr">
        <is>
          <t>IRLZ44N</t>
        </is>
      </c>
      <c r="C8" s="7" t="inlineStr">
        <is>
          <t>TO-220 · 55 В · 47 А · 22 мОм при Vgs 5 В</t>
        </is>
      </c>
      <c r="D8" s="8" t="inlineStr">
        <is>
          <t>Открыть</t>
        </is>
      </c>
      <c r="E8" s="12" t="inlineStr">
        <is>
          <t>нет фото на сайте</t>
        </is>
      </c>
      <c r="F8" s="9" t="n">
        <v>1</v>
      </c>
      <c r="G8" s="9" t="n">
        <v>1</v>
      </c>
      <c r="H8" s="9">
        <f>F8+G8</f>
        <v/>
      </c>
      <c r="I8" s="10" t="n">
        <v>15000</v>
      </c>
      <c r="J8" s="11">
        <f>H8*I8</f>
        <v/>
      </c>
      <c r="K8" s="7" t="inlineStr">
        <is>
          <t>IRLZ44N TO220</t>
        </is>
      </c>
      <c r="L8" s="7" t="inlineStr">
        <is>
          <t>Q1 — ключ нагревателя</t>
        </is>
      </c>
    </row>
    <row r="9" ht="96" customHeight="1">
      <c r="A9" s="7" t="inlineStr">
        <is>
          <t>Панелька для микросхемы</t>
        </is>
      </c>
      <c r="B9" s="7" t="inlineStr">
        <is>
          <t>SCS-8</t>
        </is>
      </c>
      <c r="C9" s="7" t="inlineStr">
        <is>
          <t>DIP-8 · шаг 2,54 мм</t>
        </is>
      </c>
      <c r="D9" s="8" t="inlineStr">
        <is>
          <t>Открыть</t>
        </is>
      </c>
      <c r="E9" s="7" t="n"/>
      <c r="F9" s="9" t="n">
        <v>2</v>
      </c>
      <c r="G9" s="9" t="n">
        <v>2</v>
      </c>
      <c r="H9" s="9">
        <f>F9+G9</f>
        <v/>
      </c>
      <c r="I9" s="10" t="n">
        <v>500</v>
      </c>
      <c r="J9" s="11">
        <f>H9*I9</f>
        <v/>
      </c>
      <c r="K9" s="7" t="inlineStr">
        <is>
          <t>SCS-8 Dip 8pin панельки</t>
        </is>
      </c>
      <c r="L9" s="7" t="inlineStr">
        <is>
          <t>Для U2 и U5</t>
        </is>
      </c>
    </row>
    <row r="10">
      <c r="I10" s="13" t="inlineStr">
        <is>
          <t>Итого</t>
        </is>
      </c>
      <c r="J10" s="14">
        <f>SUM(J6:J9)</f>
        <v/>
      </c>
    </row>
    <row r="11"/>
    <row r="12">
      <c r="A12" s="4" t="inlineStr">
        <is>
          <t>Пассивные компоненты</t>
        </is>
      </c>
      <c r="B12" s="5" t="n"/>
      <c r="C12" s="6" t="inlineStr">
        <is>
          <t>Отдел радиодеталей · +998 95 199-04-61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 ht="96" customHeight="1">
      <c r="A13" s="7" t="inlineStr">
        <is>
          <t>Набор резисторов</t>
        </is>
      </c>
      <c r="B13" s="7" t="inlineStr">
        <is>
          <t>CF 0,25 Вт, набор 300 шт</t>
        </is>
      </c>
      <c r="C13" s="7" t="inlineStr">
        <is>
          <t>30 номиналов × 10 шт · 0,25 Вт · ±5 % · выводные</t>
        </is>
      </c>
      <c r="D13" s="8" t="inlineStr">
        <is>
          <t>Открыть</t>
        </is>
      </c>
      <c r="E13" s="7" t="n"/>
      <c r="F13" s="9" t="n">
        <v>1</v>
      </c>
      <c r="G13" s="9" t="n">
        <v>0</v>
      </c>
      <c r="H13" s="9">
        <f>F13+G13</f>
        <v/>
      </c>
      <c r="I13" s="10" t="n">
        <v>20000</v>
      </c>
      <c r="J13" s="11">
        <f>H13*I13</f>
        <v/>
      </c>
      <c r="K13" s="7" t="inlineStr">
        <is>
          <t>Набор резисторов 0,25Вт 300 шт</t>
        </is>
      </c>
      <c r="L13" s="7" t="inlineStr">
        <is>
          <t>Нужно: 220 Ом ×1, 1 кОм ×3, 10 кОм ×5, 100 кОм ×1, 1 МОм ×1 — проверить, что 220 Ом и 1 МОм есть в наборе</t>
        </is>
      </c>
    </row>
    <row r="14" ht="96" customHeight="1">
      <c r="A14" s="7" t="inlineStr">
        <is>
          <t>Мощный резистор (нагреватель)</t>
        </is>
      </c>
      <c r="B14" s="7" t="inlineStr">
        <is>
          <t>150 Ом 5 Вт</t>
        </is>
      </c>
      <c r="C14" s="7" t="inlineStr">
        <is>
          <t>5 Вт · ±5 % · керамический (цементный) · аксиальный</t>
        </is>
      </c>
      <c r="D14" s="8" t="inlineStr">
        <is>
          <t>Открыть</t>
        </is>
      </c>
      <c r="E14" s="7" t="n"/>
      <c r="F14" s="9" t="n">
        <v>3</v>
      </c>
      <c r="G14" s="9" t="n">
        <v>2</v>
      </c>
      <c r="H14" s="9">
        <f>F14+G14</f>
        <v/>
      </c>
      <c r="I14" s="10" t="n">
        <v>2065</v>
      </c>
      <c r="J14" s="11">
        <f>H14*I14</f>
        <v/>
      </c>
      <c r="K14" s="7" t="inlineStr">
        <is>
          <t>150om — 5W</t>
        </is>
      </c>
      <c r="L14" s="7" t="inlineStr">
        <is>
          <t>R8–R10, 3 параллельно = 50 Ом</t>
        </is>
      </c>
    </row>
    <row r="15" ht="96" customHeight="1">
      <c r="A15" s="7" t="inlineStr">
        <is>
          <t>NTC-термистор</t>
        </is>
      </c>
      <c r="B15" s="7" t="inlineStr">
        <is>
          <t>MF58 10K</t>
        </is>
      </c>
      <c r="C15" s="7" t="inlineStr">
        <is>
          <t>10 кОм при 25 °C · B ≈ 3950 · стеклянный, аксиальный</t>
        </is>
      </c>
      <c r="D15" s="8" t="inlineStr">
        <is>
          <t>Открыть</t>
        </is>
      </c>
      <c r="E15" s="7" t="n"/>
      <c r="F15" s="9" t="n">
        <v>2</v>
      </c>
      <c r="G15" s="9" t="n">
        <v>2</v>
      </c>
      <c r="H15" s="9">
        <f>F15+G15</f>
        <v/>
      </c>
      <c r="I15" s="10" t="n">
        <v>1000</v>
      </c>
      <c r="J15" s="11">
        <f>H15*I15</f>
        <v/>
      </c>
      <c r="K15" s="7" t="inlineStr">
        <is>
          <t>Терморезистор NTC MF58 10K</t>
        </is>
      </c>
      <c r="L15" s="7" t="inlineStr">
        <is>
          <t>TH1 (прошивка), TH2 (аппаратная защита)</t>
        </is>
      </c>
    </row>
    <row r="16" ht="96" customHeight="1">
      <c r="A16" s="7" t="inlineStr">
        <is>
          <t>Подстроечный резистор 50 кОм</t>
        </is>
      </c>
      <c r="B16" s="7" t="inlineStr">
        <is>
          <t>3296W-1-503LF</t>
        </is>
      </c>
      <c r="C16" s="7" t="inlineStr">
        <is>
          <t>50 кОм · 25 оборотов · регулировка сверху · выводной</t>
        </is>
      </c>
      <c r="D16" s="8" t="inlineStr">
        <is>
          <t>Открыть</t>
        </is>
      </c>
      <c r="E16" s="7" t="n"/>
      <c r="F16" s="9" t="n">
        <v>1</v>
      </c>
      <c r="G16" s="9" t="n">
        <v>1</v>
      </c>
      <c r="H16" s="9">
        <f>F16+G16</f>
        <v/>
      </c>
      <c r="I16" s="10" t="n">
        <v>2000</v>
      </c>
      <c r="J16" s="11">
        <f>H16*I16</f>
        <v/>
      </c>
      <c r="K16" s="7" t="inlineStr">
        <is>
          <t>50KOM 3296W-1-503LF</t>
        </is>
      </c>
      <c r="L16" s="7" t="inlineStr">
        <is>
          <t>RV3 — нагрузка датчика</t>
        </is>
      </c>
    </row>
    <row r="17" ht="96" customHeight="1">
      <c r="A17" s="7" t="inlineStr">
        <is>
          <t>Подстроечный резистор 10 кОм</t>
        </is>
      </c>
      <c r="B17" s="7" t="inlineStr">
        <is>
          <t>3296W-1-103LF</t>
        </is>
      </c>
      <c r="C17" s="7" t="inlineStr">
        <is>
          <t>10 кОм · 25 оборотов · регулировка сверху · выводной</t>
        </is>
      </c>
      <c r="D17" s="8" t="inlineStr">
        <is>
          <t>Открыть</t>
        </is>
      </c>
      <c r="E17" s="7" t="n"/>
      <c r="F17" s="9" t="n">
        <v>1</v>
      </c>
      <c r="G17" s="9" t="n">
        <v>1</v>
      </c>
      <c r="H17" s="9">
        <f>F17+G17</f>
        <v/>
      </c>
      <c r="I17" s="10" t="n">
        <v>2000</v>
      </c>
      <c r="J17" s="11">
        <f>H17*I17</f>
        <v/>
      </c>
      <c r="K17" s="7" t="inlineStr">
        <is>
          <t>10KOM 3296W-1-103LF</t>
        </is>
      </c>
      <c r="L17" s="7" t="inlineStr">
        <is>
          <t>RV2 — порог отключения</t>
        </is>
      </c>
    </row>
    <row r="18" ht="96" customHeight="1">
      <c r="A18" s="15" t="inlineStr">
        <is>
          <t>Керамический конденсатор 1 мкФ</t>
        </is>
      </c>
      <c r="B18" s="15" t="inlineStr">
        <is>
          <t>105</t>
        </is>
      </c>
      <c r="C18" s="15" t="inlineStr">
        <is>
          <t>1 мкФ · 50 В · многослойный керамический · выводной</t>
        </is>
      </c>
      <c r="D18" s="16" t="inlineStr">
        <is>
          <t>Открыть</t>
        </is>
      </c>
      <c r="E18" s="17" t="inlineStr">
        <is>
          <t>нет фото на сайте</t>
        </is>
      </c>
      <c r="F18" s="18" t="n">
        <v>1</v>
      </c>
      <c r="G18" s="18" t="n">
        <v>2</v>
      </c>
      <c r="H18" s="18">
        <f>F18+G18</f>
        <v/>
      </c>
      <c r="I18" s="19" t="n">
        <v>500</v>
      </c>
      <c r="J18" s="20">
        <f>H18*I18</f>
        <v/>
      </c>
      <c r="K18" s="15" t="inlineStr">
        <is>
          <t>105-50V (1mf) ceramic</t>
        </is>
      </c>
      <c r="L18" s="15" t="inlineStr">
        <is>
          <t>C11 — нужен только 1 (было 6)</t>
        </is>
      </c>
    </row>
    <row r="19" ht="96" customHeight="1">
      <c r="A19" s="15" t="inlineStr">
        <is>
          <t>Керамический конденсатор 470 нФ</t>
        </is>
      </c>
      <c r="B19" s="15" t="inlineStr">
        <is>
          <t>474</t>
        </is>
      </c>
      <c r="C19" s="15" t="inlineStr">
        <is>
          <t>470 нФ · 50 В · многослойный керамический · выводной</t>
        </is>
      </c>
      <c r="D19" s="16" t="inlineStr">
        <is>
          <t>Открыть</t>
        </is>
      </c>
      <c r="E19" s="17" t="inlineStr">
        <is>
          <t>нет фото на сайте</t>
        </is>
      </c>
      <c r="F19" s="18" t="n">
        <v>1</v>
      </c>
      <c r="G19" s="18" t="n">
        <v>2</v>
      </c>
      <c r="H19" s="18">
        <f>F19+G19</f>
        <v/>
      </c>
      <c r="I19" s="19" t="n">
        <v>500</v>
      </c>
      <c r="J19" s="20">
        <f>H19*I19</f>
        <v/>
      </c>
      <c r="K19" s="15" t="inlineStr">
        <is>
          <t>474-50V (470nf) ceramic</t>
        </is>
      </c>
      <c r="L19" s="15" t="inlineStr">
        <is>
          <t>C2 — нужен только 1 (было 4)</t>
        </is>
      </c>
    </row>
    <row r="20" ht="96" customHeight="1">
      <c r="A20" s="7" t="inlineStr">
        <is>
          <t>Керамический конденсатор 100 нФ</t>
        </is>
      </c>
      <c r="B20" s="7" t="inlineStr">
        <is>
          <t>104</t>
        </is>
      </c>
      <c r="C20" s="7" t="inlineStr">
        <is>
          <t>100 нФ · 50 В · керамический дисковый · выводной</t>
        </is>
      </c>
      <c r="D20" s="8" t="inlineStr">
        <is>
          <t>Открыть</t>
        </is>
      </c>
      <c r="E20" s="12" t="inlineStr">
        <is>
          <t>нет фото на сайте</t>
        </is>
      </c>
      <c r="F20" s="9" t="n">
        <v>5</v>
      </c>
      <c r="G20" s="9" t="n">
        <v>5</v>
      </c>
      <c r="H20" s="9">
        <f>F20+G20</f>
        <v/>
      </c>
      <c r="I20" s="10" t="n">
        <v>500</v>
      </c>
      <c r="J20" s="11">
        <f>H20*I20</f>
        <v/>
      </c>
      <c r="K20" s="7" t="inlineStr">
        <is>
          <t>104-50V ceramicDisk</t>
        </is>
      </c>
      <c r="L20" s="7" t="inlineStr">
        <is>
          <t>C3, C5, C7, C8, C9</t>
        </is>
      </c>
    </row>
    <row r="21" ht="96" customHeight="1">
      <c r="A21" s="7" t="inlineStr">
        <is>
          <t>Электролитический конденсатор 10 мкФ</t>
        </is>
      </c>
      <c r="B21" s="7" t="inlineStr">
        <is>
          <t>10 мкФ 50 В</t>
        </is>
      </c>
      <c r="C21" s="7" t="inlineStr">
        <is>
          <t>10 мкФ · 50 В · радиальный · 5 × 11,5 мм</t>
        </is>
      </c>
      <c r="D21" s="8" t="inlineStr">
        <is>
          <t>Открыть</t>
        </is>
      </c>
      <c r="E21" s="7" t="n"/>
      <c r="F21" s="9" t="n">
        <v>3</v>
      </c>
      <c r="G21" s="9" t="n">
        <v>2</v>
      </c>
      <c r="H21" s="9">
        <f>F21+G21</f>
        <v/>
      </c>
      <c r="I21" s="10" t="n">
        <v>1000</v>
      </c>
      <c r="J21" s="11">
        <f>H21*I21</f>
        <v/>
      </c>
      <c r="K21" s="7" t="inlineStr">
        <is>
          <t>10MF-50V 5×11,5</t>
        </is>
      </c>
      <c r="L21" s="7" t="inlineStr">
        <is>
          <t>C4, C6, C10 · на сайте 0 сум, цена примерная</t>
        </is>
      </c>
    </row>
    <row r="22">
      <c r="I22" s="13" t="inlineStr">
        <is>
          <t>Итого</t>
        </is>
      </c>
      <c r="J22" s="14">
        <f>SUM(J13:J21)</f>
        <v/>
      </c>
    </row>
    <row r="23"/>
    <row r="24">
      <c r="A24" s="4" t="inlineStr">
        <is>
          <t>Модули и датчики</t>
        </is>
      </c>
      <c r="B24" s="5" t="n"/>
      <c r="C24" s="6" t="inlineStr">
        <is>
          <t>Отдел Arduino / модулей · +998 95 196-04-61</t>
        </is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 ht="96" customHeight="1">
      <c r="A25" s="7" t="inlineStr">
        <is>
          <t>Модуль ИК-датчика отражения</t>
        </is>
      </c>
      <c r="B25" s="7" t="inlineStr">
        <is>
          <t>HW-511 / FZ0225 (TCRT5000)</t>
        </is>
      </c>
      <c r="C25" s="7" t="inlineStr">
        <is>
          <t>ИК-светодиод + фототранзистор · TCRT5000 выпаять с модуля</t>
        </is>
      </c>
      <c r="D25" s="8" t="inlineStr">
        <is>
          <t>Открыть</t>
        </is>
      </c>
      <c r="E25" s="7" t="n"/>
      <c r="F25" s="9" t="n">
        <v>1</v>
      </c>
      <c r="G25" s="9" t="n">
        <v>1</v>
      </c>
      <c r="H25" s="9">
        <f>F25+G25</f>
        <v/>
      </c>
      <c r="I25" s="10" t="n">
        <v>8000</v>
      </c>
      <c r="J25" s="11">
        <f>H25*I25</f>
        <v/>
      </c>
      <c r="K25" s="7" t="inlineStr">
        <is>
          <t>FZ0225 / HW-511 Модуль датчика отслеживания линии</t>
        </is>
      </c>
      <c r="L25" s="7" t="inlineStr">
        <is>
          <t>U1 — датчик сердцебиения</t>
        </is>
      </c>
    </row>
    <row r="26" ht="96" customHeight="1">
      <c r="A26" s="7" t="inlineStr">
        <is>
          <t>Модуль пульсоксиметра</t>
        </is>
      </c>
      <c r="B26" s="7" t="inlineStr">
        <is>
          <t>GY-MAX30100</t>
        </is>
      </c>
      <c r="C26" s="7" t="inlineStr">
        <is>
          <t>I²C 0x57 · 3,3 В · резервный датчик пульса</t>
        </is>
      </c>
      <c r="D26" s="8" t="inlineStr">
        <is>
          <t>Открыть</t>
        </is>
      </c>
      <c r="E26" s="7" t="n"/>
      <c r="F26" s="9" t="n">
        <v>1</v>
      </c>
      <c r="G26" s="9" t="n">
        <v>0</v>
      </c>
      <c r="H26" s="9">
        <f>F26+G26</f>
        <v/>
      </c>
      <c r="I26" s="10" t="n">
        <v>20000</v>
      </c>
      <c r="J26" s="11">
        <f>H26*I26</f>
        <v/>
      </c>
      <c r="K26" s="7" t="inlineStr">
        <is>
          <t>Оксиметр пульса GY-30100 MAX30100</t>
        </is>
      </c>
      <c r="L26" s="7" t="inlineStr">
        <is>
          <t>J9 · дешёвые платы подтягивают I²C к 1,8 В — убрать подтягивающие резисторы</t>
        </is>
      </c>
    </row>
    <row r="27" ht="96" customHeight="1">
      <c r="A27" s="7" t="inlineStr">
        <is>
          <t>Модуль температуры и влажности</t>
        </is>
      </c>
      <c r="B27" s="7" t="inlineStr">
        <is>
          <t>GY-21 (SHT21)</t>
        </is>
      </c>
      <c r="C27" s="7" t="inlineStr">
        <is>
          <t>I²C 0x40 · 3,3 В</t>
        </is>
      </c>
      <c r="D27" s="8" t="inlineStr">
        <is>
          <t>Открыть</t>
        </is>
      </c>
      <c r="E27" s="7" t="n"/>
      <c r="F27" s="9" t="n">
        <v>1</v>
      </c>
      <c r="G27" s="9" t="n">
        <v>0</v>
      </c>
      <c r="H27" s="9">
        <f>F27+G27</f>
        <v/>
      </c>
      <c r="I27" s="10" t="n">
        <v>20000</v>
      </c>
      <c r="J27" s="11">
        <f>H27*I27</f>
        <v/>
      </c>
      <c r="K27" s="7" t="inlineStr">
        <is>
          <t>GY-21 SHT21 датчик влажности и температуры</t>
        </is>
      </c>
      <c r="L27" s="7" t="inlineStr">
        <is>
          <t>J7</t>
        </is>
      </c>
    </row>
    <row r="28" ht="96" customHeight="1">
      <c r="A28" s="7" t="inlineStr">
        <is>
          <t>Модуль давления</t>
        </is>
      </c>
      <c r="B28" s="7" t="inlineStr">
        <is>
          <t>GY-BMP280</t>
        </is>
      </c>
      <c r="C28" s="7" t="inlineStr">
        <is>
          <t>I²C 0x76 (SDO → GND) · 3,3 В</t>
        </is>
      </c>
      <c r="D28" s="8" t="inlineStr">
        <is>
          <t>Открыть</t>
        </is>
      </c>
      <c r="E28" s="7" t="n"/>
      <c r="F28" s="9" t="n">
        <v>1</v>
      </c>
      <c r="G28" s="9" t="n">
        <v>0</v>
      </c>
      <c r="H28" s="9">
        <f>F28+G28</f>
        <v/>
      </c>
      <c r="I28" s="10" t="n">
        <v>10000</v>
      </c>
      <c r="J28" s="11">
        <f>H28*I28</f>
        <v/>
      </c>
      <c r="K28" s="7" t="inlineStr">
        <is>
          <t>Барометр BMP280</t>
        </is>
      </c>
      <c r="L28" s="7" t="inlineStr">
        <is>
          <t>J8 · на фото в магазине плата BME280</t>
        </is>
      </c>
    </row>
    <row r="29">
      <c r="I29" s="13" t="inlineStr">
        <is>
          <t>Итого</t>
        </is>
      </c>
      <c r="J29" s="14">
        <f>SUM(J25:J28)</f>
        <v/>
      </c>
    </row>
    <row r="30"/>
    <row r="31">
      <c r="A31" s="4" t="inlineStr">
        <is>
          <t>Разъёмы, плата и провода</t>
        </is>
      </c>
      <c r="B31" s="5" t="n"/>
      <c r="C31" s="6" t="inlineStr">
        <is>
          <t>Спросить в любом отделе</t>
        </is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 ht="96" customHeight="1">
      <c r="A32" s="7" t="inlineStr">
        <is>
          <t>Силовой разъём</t>
        </is>
      </c>
      <c r="B32" s="7" t="inlineStr">
        <is>
          <t>XT30</t>
        </is>
      </c>
      <c r="C32" s="7" t="inlineStr">
        <is>
          <t>30 А · 2 контакта · для 14,8 В от X8</t>
        </is>
      </c>
      <c r="D32" s="8" t="inlineStr">
        <is>
          <t>Открыть</t>
        </is>
      </c>
      <c r="E32" s="7" t="n"/>
      <c r="F32" s="9" t="n">
        <v>1</v>
      </c>
      <c r="G32" s="9" t="n">
        <v>1</v>
      </c>
      <c r="H32" s="9">
        <f>F32+G32</f>
        <v/>
      </c>
      <c r="I32" s="10" t="n">
        <v>5000</v>
      </c>
      <c r="J32" s="11">
        <f>H32*I32</f>
        <v/>
      </c>
      <c r="K32" s="7" t="inlineStr">
        <is>
          <t>XT30 Разъем</t>
        </is>
      </c>
      <c r="L32" s="7" t="inlineStr">
        <is>
          <t>J2</t>
        </is>
      </c>
    </row>
    <row r="33" ht="96" customHeight="1">
      <c r="A33" s="15" t="inlineStr">
        <is>
          <t>Клеммник 2-контактный</t>
        </is>
      </c>
      <c r="B33" s="15" t="inlineStr">
        <is>
          <t>KF2EDG-2P</t>
        </is>
      </c>
      <c r="C33" s="15" t="inlineStr">
        <is>
          <t>шаг 5,08 мм · разъёмный · продаётся парой</t>
        </is>
      </c>
      <c r="D33" s="16" t="inlineStr">
        <is>
          <t>Открыть</t>
        </is>
      </c>
      <c r="E33" s="15" t="n"/>
      <c r="F33" s="18" t="n">
        <v>1</v>
      </c>
      <c r="G33" s="18" t="n">
        <v>1</v>
      </c>
      <c r="H33" s="18">
        <f>F33+G33</f>
        <v/>
      </c>
      <c r="I33" s="19" t="n">
        <v>1000</v>
      </c>
      <c r="J33" s="20">
        <f>H33*I33</f>
        <v/>
      </c>
      <c r="K33" s="15" t="inlineStr">
        <is>
          <t>Клемма KF2EDG-2pin 5,08mm пара</t>
        </is>
      </c>
      <c r="L33" s="15" t="inlineStr">
        <is>
          <t>J3 — выход нагревателя, единственный клеммник на схеме (было 3)</t>
        </is>
      </c>
    </row>
    <row r="34" ht="96" customHeight="1">
      <c r="A34" s="21" t="inlineStr">
        <is>
          <t>Набор разъёмов JST-XH</t>
        </is>
      </c>
      <c r="B34" s="21" t="inlineStr">
        <is>
          <t>XH2.54, 80 шт</t>
        </is>
      </c>
      <c r="C34" s="21" t="inlineStr">
        <is>
          <t>2/3/4/5 контактов · папа + мама · 2,54 мм</t>
        </is>
      </c>
      <c r="D34" s="22" t="inlineStr">
        <is>
          <t>Открыть</t>
        </is>
      </c>
      <c r="E34" s="21" t="n"/>
      <c r="F34" s="23" t="n">
        <v>1</v>
      </c>
      <c r="G34" s="23" t="n">
        <v>0</v>
      </c>
      <c r="H34" s="23">
        <f>F34+G34</f>
        <v/>
      </c>
      <c r="I34" s="24" t="n">
        <v>27000</v>
      </c>
      <c r="J34" s="25">
        <f>H34*I34</f>
        <v/>
      </c>
      <c r="K34" s="21" t="inlineStr">
        <is>
          <t>Набор Разъемов XH2.54 80шт, 2p 3p 4p 5p</t>
        </is>
      </c>
      <c r="L34" s="21" t="inlineStr">
        <is>
          <t>J1, J4, J7, J9 — 4 контакта · J6, J8 — 5 · J5 — 3. Нужен обжимной инструмент</t>
        </is>
      </c>
    </row>
    <row r="35" ht="96" customHeight="1">
      <c r="A35" s="21" t="inlineStr">
        <is>
          <t>Кабель к датчику, 4 жилы</t>
        </is>
      </c>
      <c r="B35" s="21" t="inlineStr">
        <is>
          <t>Телефонный кабель 2 м</t>
        </is>
      </c>
      <c r="C35" s="21" t="inlineStr">
        <is>
          <t>плоский кабель RJ11 · проверить, что 4 жилы (6P4C)</t>
        </is>
      </c>
      <c r="D35" s="22" t="inlineStr">
        <is>
          <t>Открыть</t>
        </is>
      </c>
      <c r="E35" s="26" t="inlineStr">
        <is>
          <t>нет фото на сайте</t>
        </is>
      </c>
      <c r="F35" s="23" t="n">
        <v>1</v>
      </c>
      <c r="G35" s="23" t="n">
        <v>0</v>
      </c>
      <c r="H35" s="23">
        <f>F35+G35</f>
        <v/>
      </c>
      <c r="I35" s="24" t="n">
        <v>4000</v>
      </c>
      <c r="J35" s="25">
        <f>H35*I35</f>
        <v/>
      </c>
      <c r="K35" s="21" t="inlineStr">
        <is>
          <t>2м Кабель телефонной линии</t>
        </is>
      </c>
      <c r="L35" s="21" t="inlineStr">
        <is>
          <t>J1 → TCRT5000 на раковине</t>
        </is>
      </c>
    </row>
    <row r="36" ht="96" customHeight="1">
      <c r="A36" s="21" t="inlineStr">
        <is>
          <t>Провод силиконовый 24 AWG</t>
        </is>
      </c>
      <c r="B36" s="21" t="inlineStr">
        <is>
          <t>3239 24AWG, 10 м</t>
        </is>
      </c>
      <c r="C36" s="21" t="inlineStr">
        <is>
          <t>0,21 мм² · силикон · гибкий</t>
        </is>
      </c>
      <c r="D36" s="22" t="inlineStr">
        <is>
          <t>Открыть</t>
        </is>
      </c>
      <c r="E36" s="21" t="n"/>
      <c r="F36" s="23" t="n">
        <v>1</v>
      </c>
      <c r="G36" s="23" t="n">
        <v>0</v>
      </c>
      <c r="H36" s="23">
        <f>F36+G36</f>
        <v/>
      </c>
      <c r="I36" s="24" t="n">
        <v>15000</v>
      </c>
      <c r="J36" s="25">
        <f>H36*I36</f>
        <v/>
      </c>
      <c r="K36" s="21" t="inlineStr">
        <is>
          <t>3239 24AWG 10метр провод силиконовый</t>
        </is>
      </c>
      <c r="L36" s="21" t="inlineStr">
        <is>
          <t>Монтаж платы, кабели к модулям (J7–J9), выводы термисторов и нагревателя</t>
        </is>
      </c>
    </row>
    <row r="37" ht="96" customHeight="1">
      <c r="A37" s="21" t="inlineStr">
        <is>
          <t>Набор термоусадки</t>
        </is>
      </c>
      <c r="B37" s="21" t="inlineStr">
        <is>
          <t>XCL, 100 шт</t>
        </is>
      </c>
      <c r="C37" s="21" t="inlineStr">
        <is>
          <t>Ø 2–7 мм · отрезки по 20 см</t>
        </is>
      </c>
      <c r="D37" s="22" t="inlineStr">
        <is>
          <t>Открыть</t>
        </is>
      </c>
      <c r="E37" s="21" t="n"/>
      <c r="F37" s="23" t="n">
        <v>1</v>
      </c>
      <c r="G37" s="23" t="n">
        <v>0</v>
      </c>
      <c r="H37" s="23">
        <f>F37+G37</f>
        <v/>
      </c>
      <c r="I37" s="24" t="n">
        <v>30000</v>
      </c>
      <c r="J37" s="25">
        <f>H37*I37</f>
        <v/>
      </c>
      <c r="K37" s="21" t="inlineStr">
        <is>
          <t>Кембрик термоусадка набор XCL 100шт 20см Ø2-7мм</t>
        </is>
      </c>
      <c r="L37" s="21" t="inlineStr">
        <is>
          <t>Изоляция соединений датчика, термисторов и нагревателя</t>
        </is>
      </c>
    </row>
    <row r="38" ht="96" customHeight="1">
      <c r="A38" s="21" t="inlineStr">
        <is>
          <t>Каптоновый скотч 10 мм</t>
        </is>
      </c>
      <c r="B38" s="21" t="inlineStr">
        <is>
          <t>10 мм × 30 м</t>
        </is>
      </c>
      <c r="C38" s="21" t="inlineStr">
        <is>
          <t>полиимид · термостойкий</t>
        </is>
      </c>
      <c r="D38" s="22" t="inlineStr">
        <is>
          <t>Открыть</t>
        </is>
      </c>
      <c r="E38" s="21" t="n"/>
      <c r="F38" s="23" t="n">
        <v>1</v>
      </c>
      <c r="G38" s="23" t="n">
        <v>0</v>
      </c>
      <c r="H38" s="23">
        <f>F38+G38</f>
        <v/>
      </c>
      <c r="I38" s="24" t="n">
        <v>15000</v>
      </c>
      <c r="J38" s="25">
        <f>H38*I38</f>
        <v/>
      </c>
      <c r="K38" s="21" t="inlineStr">
        <is>
          <t>10mm x30m каптоновый скотч Koptan</t>
        </is>
      </c>
      <c r="L38" s="21" t="inlineStr">
        <is>
          <t>Крепление NTC на пластине нагревателя и проводов · на фото в магазине рулон 50 мм</t>
        </is>
      </c>
    </row>
    <row r="39" ht="96" customHeight="1">
      <c r="A39" s="21" t="inlineStr">
        <is>
          <t>Защитное покрытие (цапонлак)</t>
        </is>
      </c>
      <c r="B39" s="21" t="inlineStr">
        <is>
          <t>ЦапонЛак 30 мл</t>
        </is>
      </c>
      <c r="C39" s="21" t="inlineStr">
        <is>
          <t>бесцветный · наносится кисточкой</t>
        </is>
      </c>
      <c r="D39" s="22" t="inlineStr">
        <is>
          <t>Открыть</t>
        </is>
      </c>
      <c r="E39" s="21" t="n"/>
      <c r="F39" s="23" t="n">
        <v>1</v>
      </c>
      <c r="G39" s="23" t="n">
        <v>0</v>
      </c>
      <c r="H39" s="23">
        <f>F39+G39</f>
        <v/>
      </c>
      <c r="I39" s="24" t="n">
        <v>14000</v>
      </c>
      <c r="J39" s="25">
        <f>H39*I39</f>
        <v/>
      </c>
      <c r="K39" s="21" t="inlineStr">
        <is>
          <t>ЦапонЛак 30мл бесцветный</t>
        </is>
      </c>
      <c r="L39" s="21" t="inlineStr">
        <is>
          <t>Защита платы от конденсата на холоде · цена из списка от 19 октября</t>
        </is>
      </c>
    </row>
    <row r="40" ht="96" customHeight="1">
      <c r="A40" s="7" t="inlineStr">
        <is>
          <t>Макетная плата</t>
        </is>
      </c>
      <c r="B40" s="7" t="inlineStr">
        <is>
          <t>9 × 15 см, односторонняя</t>
        </is>
      </c>
      <c r="C40" s="7" t="inlineStr">
        <is>
          <t>шаг 2,54 мм · обрезать до 76 × 76 мм</t>
        </is>
      </c>
      <c r="D40" s="8" t="inlineStr">
        <is>
          <t>Открыть</t>
        </is>
      </c>
      <c r="E40" s="7" t="n"/>
      <c r="F40" s="9" t="n">
        <v>1</v>
      </c>
      <c r="G40" s="9" t="n">
        <v>1</v>
      </c>
      <c r="H40" s="9">
        <f>F40+G40</f>
        <v/>
      </c>
      <c r="I40" s="10" t="n">
        <v>10000</v>
      </c>
      <c r="J40" s="11">
        <f>H40*I40</f>
        <v/>
      </c>
      <c r="K40" s="7" t="inlineStr">
        <is>
          <t>9×15 Монтажная плата зел 1стороняя</t>
        </is>
      </c>
      <c r="L40" s="7" t="inlineStr"/>
    </row>
    <row r="41">
      <c r="I41" s="13" t="inlineStr">
        <is>
          <t>Итого</t>
        </is>
      </c>
      <c r="J41" s="14">
        <f>SUM(J32:J40)</f>
        <v/>
      </c>
    </row>
    <row r="42"/>
    <row r="43">
      <c r="I43" s="27" t="inlineStr">
        <is>
          <t>ВСЕГО</t>
        </is>
      </c>
      <c r="J43" s="28">
        <f>J10+J22+J29+J41</f>
        <v/>
      </c>
    </row>
    <row r="44"/>
    <row r="45">
      <c r="A45" s="2" t="inlineStr">
        <is>
          <t>Не входит в смету: припой, флюс и обжимной инструмент для JST-XH — взять в лаборатории. Убрано по сравнению с прошлой версией: KF2EDG 4-pin ×2 (J5/J6 на схеме — JST-XH).</t>
        </is>
      </c>
    </row>
  </sheetData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3" r:id="rId5"/>
    <hyperlink xmlns:r="http://schemas.openxmlformats.org/officeDocument/2006/relationships" ref="D14" r:id="rId6"/>
    <hyperlink xmlns:r="http://schemas.openxmlformats.org/officeDocument/2006/relationships" ref="D15" r:id="rId7"/>
    <hyperlink xmlns:r="http://schemas.openxmlformats.org/officeDocument/2006/relationships" ref="D16" r:id="rId8"/>
    <hyperlink xmlns:r="http://schemas.openxmlformats.org/officeDocument/2006/relationships" ref="D17" r:id="rId9"/>
    <hyperlink xmlns:r="http://schemas.openxmlformats.org/officeDocument/2006/relationships" ref="D18" r:id="rId10"/>
    <hyperlink xmlns:r="http://schemas.openxmlformats.org/officeDocument/2006/relationships" ref="D19" r:id="rId11"/>
    <hyperlink xmlns:r="http://schemas.openxmlformats.org/officeDocument/2006/relationships" ref="D20" r:id="rId12"/>
    <hyperlink xmlns:r="http://schemas.openxmlformats.org/officeDocument/2006/relationships" ref="D21" r:id="rId13"/>
    <hyperlink xmlns:r="http://schemas.openxmlformats.org/officeDocument/2006/relationships" ref="D25" r:id="rId14"/>
    <hyperlink xmlns:r="http://schemas.openxmlformats.org/officeDocument/2006/relationships" ref="D26" r:id="rId15"/>
    <hyperlink xmlns:r="http://schemas.openxmlformats.org/officeDocument/2006/relationships" ref="D27" r:id="rId16"/>
    <hyperlink xmlns:r="http://schemas.openxmlformats.org/officeDocument/2006/relationships" ref="D28" r:id="rId17"/>
    <hyperlink xmlns:r="http://schemas.openxmlformats.org/officeDocument/2006/relationships" ref="D32" r:id="rId18"/>
    <hyperlink xmlns:r="http://schemas.openxmlformats.org/officeDocument/2006/relationships" ref="D33" r:id="rId19"/>
    <hyperlink xmlns:r="http://schemas.openxmlformats.org/officeDocument/2006/relationships" ref="D34" r:id="rId20"/>
    <hyperlink xmlns:r="http://schemas.openxmlformats.org/officeDocument/2006/relationships" ref="D35" r:id="rId21"/>
    <hyperlink xmlns:r="http://schemas.openxmlformats.org/officeDocument/2006/relationships" ref="D36" r:id="rId22"/>
    <hyperlink xmlns:r="http://schemas.openxmlformats.org/officeDocument/2006/relationships" ref="D37" r:id="rId23"/>
    <hyperlink xmlns:r="http://schemas.openxmlformats.org/officeDocument/2006/relationships" ref="D38" r:id="rId24"/>
    <hyperlink xmlns:r="http://schemas.openxmlformats.org/officeDocument/2006/relationships" ref="D39" r:id="rId25"/>
    <hyperlink xmlns:r="http://schemas.openxmlformats.org/officeDocument/2006/relationships" ref="D40" r:id="rId26"/>
  </hyperlinks>
  <pageMargins left="0.75" right="0.75" top="1" bottom="1" header="0.5" footer="0.5"/>
  <pageSetup orientation="landscape" fitToHeight="0" fitToWidth="1"/>
  <drawing xmlns:r="http://schemas.openxmlformats.org/officeDocument/2006/relationships" r:id="rId2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2026-10-24T09:03:55Z</dcterms:created>
  <dcterms:modified xmlns:dcterms="http://purl.org/dc/terms/" xmlns:xsi="http://www.w3.org/2001/XMLSchema-instance" xsi:type="dcterms:W3CDTF">2026-10-24T09:03:56Z</dcterms:modified>
</cp:coreProperties>
</file>