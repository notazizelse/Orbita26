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ilPuls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444444"/>
      <sz val="9"/>
    </font>
    <font>
      <name val="Arial"/>
      <sz val="10"/>
    </font>
    <font>
      <name val="Arial"/>
      <color rgb="000563C1"/>
      <sz val="10"/>
      <u val="single"/>
    </font>
    <font>
      <name val="Arial"/>
      <color rgb="000000FF"/>
      <sz val="10"/>
    </font>
    <font>
      <name val="Arial"/>
      <i val="1"/>
      <color rgb="00999999"/>
      <sz val="9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DCE6F1"/>
        <bgColor rgb="00DCE6F1"/>
      </patternFill>
    </fill>
    <fill>
      <patternFill patternType="solid">
        <fgColor rgb="00FFF4D6"/>
        <bgColor rgb="00FFF4D6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3" fontId="10" fillId="0" borderId="0" pivotButton="0" quotePrefix="0" xfId="0"/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vertical="center" wrapText="1"/>
    </xf>
    <xf numFmtId="3" fontId="6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1" fillId="0" borderId="0" pivotButton="0" quotePrefix="0" xfId="0"/>
    <xf numFmtId="3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11430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11430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143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1143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ectron.uz/product/mcp6002-dip8/" TargetMode="External" Id="rId1"/><Relationship Type="http://schemas.openxmlformats.org/officeDocument/2006/relationships/hyperlink" Target="https://electron.uz/product/lm393n-dip8/" TargetMode="External" Id="rId2"/><Relationship Type="http://schemas.openxmlformats.org/officeDocument/2006/relationships/hyperlink" Target="https://electron.uz/product/irlz44/" TargetMode="External" Id="rId3"/><Relationship Type="http://schemas.openxmlformats.org/officeDocument/2006/relationships/hyperlink" Target="https://electron.uz/product/scs-8-dip-8pin-%D0%BF%D0%B0%D0%BD%D0%B5%D0%BB%D1%8C%D0%BA%D0%B8-%D0%BF%D0%BE%D0%B4-%D0%BC%D0%B8%D0%BA%D1%80%D0%BE%D1%81%D1%85%D0%B5%D0%BC%D1%8B/" TargetMode="External" Id="rId4"/><Relationship Type="http://schemas.openxmlformats.org/officeDocument/2006/relationships/hyperlink" Target="https://electron.uz/product/%D0%BD%D0%B0%D0%B1%D0%BE%D1%80-%D1%80%D0%B5%D0%B7%D0%B8%D1%81%D1%82%D0%BE%D1%80%D0%BE%D0%B2-025%D0%B2%D1%82-300-%D1%88%D1%8230-%D0%B7%D0%BD%D0%B0%D1%87%D0%B5%D0%BD%D0%B8%D0%B9/" TargetMode="External" Id="rId5"/><Relationship Type="http://schemas.openxmlformats.org/officeDocument/2006/relationships/hyperlink" Target="https://electron.uz/product/150om-5w/" TargetMode="External" Id="rId6"/><Relationship Type="http://schemas.openxmlformats.org/officeDocument/2006/relationships/hyperlink" Target="https://electron.uz/product/%D1%82%D0%B5%D1%80%D0%BC%D0%BE%D1%80%D0%B5%D0%B7%D0%B8%D1%81%D1%82%D0%BE%D1%80-ntc-mf58-10k/" TargetMode="External" Id="rId7"/><Relationship Type="http://schemas.openxmlformats.org/officeDocument/2006/relationships/hyperlink" Target="https://electron.uz/product/50kom-3296w-1-503lf/" TargetMode="External" Id="rId8"/><Relationship Type="http://schemas.openxmlformats.org/officeDocument/2006/relationships/hyperlink" Target="https://electron.uz/product/10kom-3296w-1-103lf/" TargetMode="External" Id="rId9"/><Relationship Type="http://schemas.openxmlformats.org/officeDocument/2006/relationships/hyperlink" Target="https://electron.uz/product/105-50v-1mf-ceramic/" TargetMode="External" Id="rId10"/><Relationship Type="http://schemas.openxmlformats.org/officeDocument/2006/relationships/hyperlink" Target="https://electron.uz/product/474-50v-470nf-ceramic/" TargetMode="External" Id="rId11"/><Relationship Type="http://schemas.openxmlformats.org/officeDocument/2006/relationships/hyperlink" Target="https://electron.uz/product/104-50v-ceramicdisk/" TargetMode="External" Id="rId12"/><Relationship Type="http://schemas.openxmlformats.org/officeDocument/2006/relationships/hyperlink" Target="https://electron.uz/product/10mf-50v-5x115/" TargetMode="External" Id="rId13"/><Relationship Type="http://schemas.openxmlformats.org/officeDocument/2006/relationships/hyperlink" Target="https://electron.uz/product/fz0225-%D0%BC%D0%BE%D0%B4%D1%83%D0%BB%D1%8C-%D0%B4%D0%B0%D1%82%D1%87%D0%B8%D0%BA%D0%B0-%D0%BE%D1%82%D1%81%D0%BB%D0%B5%D0%B6%D0%B8%D0%B2%D0%B0%D0%BD%D0%B8%D1%8F-%D0%BB%D0%B8%D0%BD%D0%B8%D0%B8/" TargetMode="External" Id="rId14"/><Relationship Type="http://schemas.openxmlformats.org/officeDocument/2006/relationships/hyperlink" Target="https://electron.uz/product/%D0%BE%D0%BA%D1%81%D0%B8%D0%BC%D0%B5%D1%82%D1%80-%D0%BF%D1%83%D0%BB%D1%8C%D1%81%D0%B0-gy-30100-max30100/" TargetMode="External" Id="rId15"/><Relationship Type="http://schemas.openxmlformats.org/officeDocument/2006/relationships/hyperlink" Target="https://electron.uz/product/gy-21-sht21-%D1%86%D0%B8%D1%84%D1%80%D0%BE%D0%B2%D0%BE%D0%B9-%D0%BC%D0%BE%D0%B4%D1%83%D0%BB%D1%8C-%D0%B4%D0%B0%D1%82%D1%87%D0%B8%D0%BA%D0%B0-%D0%B2%D0%BB%D0%B0%D0%B6%D0%BD%D0%BE%D1%81%D1%82%D0%B8/" TargetMode="External" Id="rId16"/><Relationship Type="http://schemas.openxmlformats.org/officeDocument/2006/relationships/hyperlink" Target="https://electron.uz/product/%D0%B1%D0%B0%D1%80%D0%BE%D0%BC%D0%B5%D1%82%D1%80-bmp280-%D0%B4%D0%B0%D1%82%D1%87%D0%B8%D0%BA-%D0%B0%D1%82%D0%BC%D0%BE%D1%81%D1%84%D0%B5%D1%80%D0%BD%D0%BE%D0%B3%D0%BE-%D0%B4%D0%B0%D0%B2%D0%BB%D0%B5/" TargetMode="External" Id="rId17"/><Relationship Type="http://schemas.openxmlformats.org/officeDocument/2006/relationships/hyperlink" Target="https://electron.uz/product/xt30-%D1%80%D0%B0%D0%B7%D1%8A%D0%B5%D0%BC-2/" TargetMode="External" Id="rId18"/><Relationship Type="http://schemas.openxmlformats.org/officeDocument/2006/relationships/hyperlink" Target="https://electron.uz/product/%D0%BA%D0%BB%D0%B5%D0%BC%D0%BC%D0%B0-kf2edg-2pin-508mm-%D0%BF%D0%B0%D1%80%D0%B0/" TargetMode="External" Id="rId19"/><Relationship Type="http://schemas.openxmlformats.org/officeDocument/2006/relationships/hyperlink" Target="https://electron.uz/product/%d0%bd%d0%b0%d0%b1%d0%be%d1%80-%d1%80%d0%b0%d0%b7%d1%8a%d0%b5%d0%bc%d0%be%d0%b2-xh2-54-80%d1%88%d1%822p-3p-4p-5p-2-54%d0%bc%d0%bc-%d0%bf%d0%b0%d0%bf%d0%b0-%d0%bc%d0%b0%d0%bc%d0%b0/" TargetMode="External" Id="rId20"/><Relationship Type="http://schemas.openxmlformats.org/officeDocument/2006/relationships/hyperlink" Target="https://electron.uz/product/2%d0%bc-%d0%ba%d0%b0%d0%b1%d0%b5%d0%bb%d1%8c-%d1%82%d0%b5%d0%bb%d0%b5%d1%84%d0%be%d0%bd%d0%bd%d0%be%d0%b9-%d0%bb%d0%b8%d0%bd%d0%b8%d0%b8/" TargetMode="External" Id="rId21"/><Relationship Type="http://schemas.openxmlformats.org/officeDocument/2006/relationships/hyperlink" Target="https://electron.uz/product/3239-24awg021mm2-10%d0%bc%d0%b5%d1%82%d1%80-%d0%bf%d1%80%d0%be%d0%b2%d0%be%d0%b4-%d0%bc%d0%be%d0%bd%d1%82%d0%b0%d0%b6%d0%bd%d1%8b%d0%b9-%d1%81%d0%b8%d0%bb%d0%b8%d0%ba%d0%be%d0%bd%d0%be%d0%b2%d1%8b/" TargetMode="External" Id="rId22"/><Relationship Type="http://schemas.openxmlformats.org/officeDocument/2006/relationships/hyperlink" Target="https://electron.uz/product/%d0%ba%d0%b5%d0%bc%d0%b1%d1%80%d0%b8%d0%ba-%d1%82%d0%b5%d1%80%d0%bc%d0%be%d1%83%d1%81%d0%b0%d0%b4%d0%ba%d0%b0-%d0%bd%d0%b0%d0%b1%d0%be%d1%80-ncl-100%d1%88%d1%82-%d0%ba%d0%be%d0%bc%d0%bf%d0%bb%d0%b5/" TargetMode="External" Id="rId23"/><Relationship Type="http://schemas.openxmlformats.org/officeDocument/2006/relationships/hyperlink" Target="https://electron.uz/product/10mm-x30m-%d0%ba%d0%b0%d0%bf%d1%82%d0%be%d0%bd%d0%be%d0%b2%d1%8b%d0%b9-%d1%81%d0%ba%d0%be%d1%82%d1%87-%d1%82%d0%b5%d1%80%d0%bc%d0%be%d1%81%d1%82%d0%be%d0%b9%d0%ba%d0%b8%d0%b9-%d0%b2%d1%8b%d1%81%d0%be/" TargetMode="External" Id="rId24"/><Relationship Type="http://schemas.openxmlformats.org/officeDocument/2006/relationships/hyperlink" Target="https://electron.uz/?s=%D1%86%D0%B0%D0%BF%D0%BE%D0%BD%D0%BB%D0%B0%D0%BA&amp;post_type=product" TargetMode="External" Id="rId25"/><Relationship Type="http://schemas.openxmlformats.org/officeDocument/2006/relationships/hyperlink" Target="https://electron.uz/product/9x15-%D0%BC%D0%BE%D0%BD%D1%82%D0%B0%D0%B6%D0%BD%D0%B0%D1%8F-%D0%BF%D0%BB%D0%B0%D1%82%D0%B0-%D0%B7%D0%B5%D0%BB-1%D1%81%D1%82%D0%BE%D1%80%D0%BE%D0%BD%D1%8F%D1%8F/" TargetMode="External" Id="rId26"/><Relationship Type="http://schemas.openxmlformats.org/officeDocument/2006/relationships/drawing" Target="/xl/drawings/drawing1.xml" Id="rId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8" customWidth="1" min="4" max="4"/>
    <col width="18" customWidth="1" min="5" max="5"/>
    <col width="6" customWidth="1" min="6" max="6"/>
    <col width="7" customWidth="1" min="7" max="7"/>
    <col width="8" customWidth="1" min="8" max="8"/>
    <col width="12" customWidth="1" min="9" max="9"/>
    <col width="13" customWidth="1" min="10" max="10"/>
    <col width="36" customWidth="1" min="11" max="11"/>
    <col width="44" customWidth="1" min="12" max="12"/>
  </cols>
  <sheetData>
    <row r="1">
      <c r="A1" s="1" t="inlineStr">
        <is>
          <t>Orbita SnailPulse — parts list (Microelectronica, electron.uz)</t>
        </is>
      </c>
    </row>
    <row r="2">
      <c r="A2" s="2" t="inlineStr">
        <is>
          <t>Green rows = added after checking against the schematic · orange = quantity changed</t>
        </is>
      </c>
    </row>
    <row r="4" ht="30" customHeight="1">
      <c r="A4" s="3" t="inlineStr">
        <is>
          <t>Component name</t>
        </is>
      </c>
      <c r="B4" s="3" t="inlineStr">
        <is>
          <t>Part number</t>
        </is>
      </c>
      <c r="C4" s="3" t="inlineStr">
        <is>
          <t>Specific details</t>
        </is>
      </c>
      <c r="D4" s="3" t="inlineStr">
        <is>
          <t>Link</t>
        </is>
      </c>
      <c r="E4" s="3" t="inlineStr">
        <is>
          <t>Picture</t>
        </is>
      </c>
      <c r="F4" s="3" t="inlineStr">
        <is>
          <t>Qty</t>
        </is>
      </c>
      <c r="G4" s="3" t="inlineStr">
        <is>
          <t>Spares</t>
        </is>
      </c>
      <c r="H4" s="3" t="inlineStr">
        <is>
          <t>Total qty</t>
        </is>
      </c>
      <c r="I4" s="3" t="inlineStr">
        <is>
          <t>Price each (UZS)</t>
        </is>
      </c>
      <c r="J4" s="3" t="inlineStr">
        <is>
          <t>Line total (UZS)</t>
        </is>
      </c>
      <c r="K4" s="3" t="inlineStr">
        <is>
          <t>Name on site (show at counter)</t>
        </is>
      </c>
      <c r="L4" s="3" t="inlineStr">
        <is>
          <t>Note</t>
        </is>
      </c>
    </row>
    <row r="5">
      <c r="A5" s="4" t="inlineStr">
        <is>
          <t>Active components (ICs, transistors)</t>
        </is>
      </c>
      <c r="B5" s="5" t="n"/>
      <c r="C5" s="6" t="inlineStr">
        <is>
          <t>Electronic components counter · +998 95 199-04-61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96" customHeight="1">
      <c r="A6" s="7" t="inlineStr">
        <is>
          <t>Op-amp, dual</t>
        </is>
      </c>
      <c r="B6" s="7" t="inlineStr">
        <is>
          <t>MCP6002-I/P</t>
        </is>
      </c>
      <c r="C6" s="7" t="inlineStr">
        <is>
          <t>DIP-8 · rail-to-rail in/out · 1.8–6 V · 1 MHz</t>
        </is>
      </c>
      <c r="D6" s="8" t="inlineStr">
        <is>
          <t>Open</t>
        </is>
      </c>
      <c r="E6" s="7" t="n"/>
      <c r="F6" s="9" t="n">
        <v>1</v>
      </c>
      <c r="G6" s="9" t="n">
        <v>1</v>
      </c>
      <c r="H6" s="9">
        <f>F6+G6</f>
        <v/>
      </c>
      <c r="I6" s="10" t="n">
        <v>6800</v>
      </c>
      <c r="J6" s="11">
        <f>H6*I6</f>
        <v/>
      </c>
      <c r="K6" s="7" t="inlineStr">
        <is>
          <t>MCP6002 DIP8</t>
        </is>
      </c>
      <c r="L6" s="7" t="inlineStr">
        <is>
          <t>U2 — amplifier + 1.65 V buffer</t>
        </is>
      </c>
    </row>
    <row r="7" ht="96" customHeight="1">
      <c r="A7" s="7" t="inlineStr">
        <is>
          <t>Comparator, dual</t>
        </is>
      </c>
      <c r="B7" s="7" t="inlineStr">
        <is>
          <t>LM393N</t>
        </is>
      </c>
      <c r="C7" s="7" t="inlineStr">
        <is>
          <t>DIP-8 · open-collector output · 2–36 V supply</t>
        </is>
      </c>
      <c r="D7" s="8" t="inlineStr">
        <is>
          <t>Open</t>
        </is>
      </c>
      <c r="E7" s="7" t="n"/>
      <c r="F7" s="9" t="n">
        <v>1</v>
      </c>
      <c r="G7" s="9" t="n">
        <v>1</v>
      </c>
      <c r="H7" s="9">
        <f>F7+G7</f>
        <v/>
      </c>
      <c r="I7" s="10" t="n">
        <v>3400</v>
      </c>
      <c r="J7" s="11">
        <f>H7*I7</f>
        <v/>
      </c>
      <c r="K7" s="7" t="inlineStr">
        <is>
          <t>LM393N DIP8</t>
        </is>
      </c>
      <c r="L7" s="7" t="inlineStr">
        <is>
          <t>U5 — hardware 40 °C heater cutoff</t>
        </is>
      </c>
    </row>
    <row r="8" ht="96" customHeight="1">
      <c r="A8" s="7" t="inlineStr">
        <is>
          <t>MOSFET, N-channel logic-level</t>
        </is>
      </c>
      <c r="B8" s="7" t="inlineStr">
        <is>
          <t>IRLZ44N</t>
        </is>
      </c>
      <c r="C8" s="7" t="inlineStr">
        <is>
          <t>TO-220 · 55 V · 47 A · 22 mΩ at Vgs 5 V</t>
        </is>
      </c>
      <c r="D8" s="8" t="inlineStr">
        <is>
          <t>Open</t>
        </is>
      </c>
      <c r="E8" s="12" t="inlineStr">
        <is>
          <t>no photo on site</t>
        </is>
      </c>
      <c r="F8" s="9" t="n">
        <v>1</v>
      </c>
      <c r="G8" s="9" t="n">
        <v>1</v>
      </c>
      <c r="H8" s="9">
        <f>F8+G8</f>
        <v/>
      </c>
      <c r="I8" s="10" t="n">
        <v>15000</v>
      </c>
      <c r="J8" s="11">
        <f>H8*I8</f>
        <v/>
      </c>
      <c r="K8" s="7" t="inlineStr">
        <is>
          <t>IRLZ44N TO220</t>
        </is>
      </c>
      <c r="L8" s="7" t="inlineStr">
        <is>
          <t>Q1 — heater switch</t>
        </is>
      </c>
    </row>
    <row r="9" ht="96" customHeight="1">
      <c r="A9" s="7" t="inlineStr">
        <is>
          <t>IC socket</t>
        </is>
      </c>
      <c r="B9" s="7" t="inlineStr">
        <is>
          <t>SCS-8</t>
        </is>
      </c>
      <c r="C9" s="7" t="inlineStr">
        <is>
          <t>DIP-8 · 2.54 mm pitch</t>
        </is>
      </c>
      <c r="D9" s="8" t="inlineStr">
        <is>
          <t>Open</t>
        </is>
      </c>
      <c r="E9" s="7" t="n"/>
      <c r="F9" s="9" t="n">
        <v>2</v>
      </c>
      <c r="G9" s="9" t="n">
        <v>2</v>
      </c>
      <c r="H9" s="9">
        <f>F9+G9</f>
        <v/>
      </c>
      <c r="I9" s="10" t="n">
        <v>500</v>
      </c>
      <c r="J9" s="11">
        <f>H9*I9</f>
        <v/>
      </c>
      <c r="K9" s="7" t="inlineStr">
        <is>
          <t>SCS-8 Dip 8pin панельки</t>
        </is>
      </c>
      <c r="L9" s="7" t="inlineStr">
        <is>
          <t>For U2 and U5</t>
        </is>
      </c>
    </row>
    <row r="10">
      <c r="I10" s="13" t="inlineStr">
        <is>
          <t>Subtotal</t>
        </is>
      </c>
      <c r="J10" s="14">
        <f>SUM(J6:J9)</f>
        <v/>
      </c>
    </row>
    <row r="12">
      <c r="A12" s="4" t="inlineStr">
        <is>
          <t>Passive components</t>
        </is>
      </c>
      <c r="B12" s="5" t="n"/>
      <c r="C12" s="6" t="inlineStr">
        <is>
          <t>Electronic components counter · +998 95 199-04-61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96" customHeight="1">
      <c r="A13" s="7" t="inlineStr">
        <is>
          <t>Resistor kit</t>
        </is>
      </c>
      <c r="B13" s="7" t="inlineStr">
        <is>
          <t>CF 0.25 W kit, 300 pcs</t>
        </is>
      </c>
      <c r="C13" s="7" t="inlineStr">
        <is>
          <t>30 values × 10 pcs · 0.25 W · ±5 % · THT</t>
        </is>
      </c>
      <c r="D13" s="8" t="inlineStr">
        <is>
          <t>Open</t>
        </is>
      </c>
      <c r="E13" s="7" t="n"/>
      <c r="F13" s="9" t="n">
        <v>1</v>
      </c>
      <c r="G13" s="9" t="n">
        <v>0</v>
      </c>
      <c r="H13" s="9">
        <f>F13+G13</f>
        <v/>
      </c>
      <c r="I13" s="10" t="n">
        <v>20000</v>
      </c>
      <c r="J13" s="11">
        <f>H13*I13</f>
        <v/>
      </c>
      <c r="K13" s="7" t="inlineStr">
        <is>
          <t>Набор резисторов 0,25Вт 300 шт</t>
        </is>
      </c>
      <c r="L13" s="7" t="inlineStr">
        <is>
          <t>Needs 220 Ω ×1, 1 k ×3, 10 k ×5, 100 k ×1, 1 MΩ ×1 — check 220 Ω and 1 MΩ are in the kit</t>
        </is>
      </c>
    </row>
    <row r="14" ht="96" customHeight="1">
      <c r="A14" s="7" t="inlineStr">
        <is>
          <t>Power resistor (heater)</t>
        </is>
      </c>
      <c r="B14" s="7" t="inlineStr">
        <is>
          <t>150 Ω 5 W</t>
        </is>
      </c>
      <c r="C14" s="7" t="inlineStr">
        <is>
          <t>5 W · ±5 % · ceramic/cement · axial</t>
        </is>
      </c>
      <c r="D14" s="8" t="inlineStr">
        <is>
          <t>Open</t>
        </is>
      </c>
      <c r="E14" s="7" t="n"/>
      <c r="F14" s="9" t="n">
        <v>3</v>
      </c>
      <c r="G14" s="9" t="n">
        <v>2</v>
      </c>
      <c r="H14" s="9">
        <f>F14+G14</f>
        <v/>
      </c>
      <c r="I14" s="10" t="n">
        <v>2065</v>
      </c>
      <c r="J14" s="11">
        <f>H14*I14</f>
        <v/>
      </c>
      <c r="K14" s="7" t="inlineStr">
        <is>
          <t>150om — 5W</t>
        </is>
      </c>
      <c r="L14" s="7" t="inlineStr">
        <is>
          <t>R8–R10, 3 in parallel = 50 Ω</t>
        </is>
      </c>
    </row>
    <row r="15" ht="96" customHeight="1">
      <c r="A15" s="7" t="inlineStr">
        <is>
          <t>NTC thermistor</t>
        </is>
      </c>
      <c r="B15" s="7" t="inlineStr">
        <is>
          <t>MF58 10K</t>
        </is>
      </c>
      <c r="C15" s="7" t="inlineStr">
        <is>
          <t>10 kΩ at 25 °C · B ≈ 3950 · glass, axial</t>
        </is>
      </c>
      <c r="D15" s="8" t="inlineStr">
        <is>
          <t>Open</t>
        </is>
      </c>
      <c r="E15" s="7" t="n"/>
      <c r="F15" s="9" t="n">
        <v>2</v>
      </c>
      <c r="G15" s="9" t="n">
        <v>2</v>
      </c>
      <c r="H15" s="9">
        <f>F15+G15</f>
        <v/>
      </c>
      <c r="I15" s="10" t="n">
        <v>1000</v>
      </c>
      <c r="J15" s="11">
        <f>H15*I15</f>
        <v/>
      </c>
      <c r="K15" s="7" t="inlineStr">
        <is>
          <t>Терморезистор NTC MF58 10K</t>
        </is>
      </c>
      <c r="L15" s="7" t="inlineStr">
        <is>
          <t>TH1 (firmware), TH2 (cutoff)</t>
        </is>
      </c>
    </row>
    <row r="16" ht="96" customHeight="1">
      <c r="A16" s="7" t="inlineStr">
        <is>
          <t>Trimpot 50 kΩ</t>
        </is>
      </c>
      <c r="B16" s="7" t="inlineStr">
        <is>
          <t>3296W-1-503LF</t>
        </is>
      </c>
      <c r="C16" s="7" t="inlineStr">
        <is>
          <t>50 kΩ · 25-turn · top adjust · THT</t>
        </is>
      </c>
      <c r="D16" s="8" t="inlineStr">
        <is>
          <t>Open</t>
        </is>
      </c>
      <c r="E16" s="7" t="n"/>
      <c r="F16" s="9" t="n">
        <v>1</v>
      </c>
      <c r="G16" s="9" t="n">
        <v>1</v>
      </c>
      <c r="H16" s="9">
        <f>F16+G16</f>
        <v/>
      </c>
      <c r="I16" s="10" t="n">
        <v>2000</v>
      </c>
      <c r="J16" s="11">
        <f>H16*I16</f>
        <v/>
      </c>
      <c r="K16" s="7" t="inlineStr">
        <is>
          <t>50KOM 3296W-1-503LF</t>
        </is>
      </c>
      <c r="L16" s="7" t="inlineStr">
        <is>
          <t>RV3 — sensor load</t>
        </is>
      </c>
    </row>
    <row r="17" ht="96" customHeight="1">
      <c r="A17" s="7" t="inlineStr">
        <is>
          <t>Trimpot 10 kΩ</t>
        </is>
      </c>
      <c r="B17" s="7" t="inlineStr">
        <is>
          <t>3296W-1-103LF</t>
        </is>
      </c>
      <c r="C17" s="7" t="inlineStr">
        <is>
          <t>10 kΩ · 25-turn · top adjust · THT</t>
        </is>
      </c>
      <c r="D17" s="8" t="inlineStr">
        <is>
          <t>Open</t>
        </is>
      </c>
      <c r="E17" s="7" t="n"/>
      <c r="F17" s="9" t="n">
        <v>1</v>
      </c>
      <c r="G17" s="9" t="n">
        <v>1</v>
      </c>
      <c r="H17" s="9">
        <f>F17+G17</f>
        <v/>
      </c>
      <c r="I17" s="10" t="n">
        <v>2000</v>
      </c>
      <c r="J17" s="11">
        <f>H17*I17</f>
        <v/>
      </c>
      <c r="K17" s="7" t="inlineStr">
        <is>
          <t>10KOM 3296W-1-103LF</t>
        </is>
      </c>
      <c r="L17" s="7" t="inlineStr">
        <is>
          <t>RV2 — cutoff threshold</t>
        </is>
      </c>
    </row>
    <row r="18" ht="96" customHeight="1">
      <c r="A18" s="15" t="inlineStr">
        <is>
          <t>Ceramic capacitor 1 µF</t>
        </is>
      </c>
      <c r="B18" s="15" t="inlineStr">
        <is>
          <t>105</t>
        </is>
      </c>
      <c r="C18" s="15" t="inlineStr">
        <is>
          <t>1 µF · 50 V · multilayer ceramic · THT</t>
        </is>
      </c>
      <c r="D18" s="16" t="inlineStr">
        <is>
          <t>Open</t>
        </is>
      </c>
      <c r="E18" s="17" t="inlineStr">
        <is>
          <t>no photo on site</t>
        </is>
      </c>
      <c r="F18" s="18" t="n">
        <v>1</v>
      </c>
      <c r="G18" s="18" t="n">
        <v>2</v>
      </c>
      <c r="H18" s="18">
        <f>F18+G18</f>
        <v/>
      </c>
      <c r="I18" s="19" t="n">
        <v>500</v>
      </c>
      <c r="J18" s="20">
        <f>H18*I18</f>
        <v/>
      </c>
      <c r="K18" s="15" t="inlineStr">
        <is>
          <t>105-50V (1mf) ceramic</t>
        </is>
      </c>
      <c r="L18" s="15" t="inlineStr">
        <is>
          <t>C11 — only 1 needed (was 6)</t>
        </is>
      </c>
    </row>
    <row r="19" ht="96" customHeight="1">
      <c r="A19" s="15" t="inlineStr">
        <is>
          <t>Ceramic capacitor 470 nF</t>
        </is>
      </c>
      <c r="B19" s="15" t="inlineStr">
        <is>
          <t>474</t>
        </is>
      </c>
      <c r="C19" s="15" t="inlineStr">
        <is>
          <t>470 nF · 50 V · multilayer ceramic · THT</t>
        </is>
      </c>
      <c r="D19" s="16" t="inlineStr">
        <is>
          <t>Open</t>
        </is>
      </c>
      <c r="E19" s="17" t="inlineStr">
        <is>
          <t>no photo on site</t>
        </is>
      </c>
      <c r="F19" s="18" t="n">
        <v>1</v>
      </c>
      <c r="G19" s="18" t="n">
        <v>2</v>
      </c>
      <c r="H19" s="18">
        <f>F19+G19</f>
        <v/>
      </c>
      <c r="I19" s="19" t="n">
        <v>500</v>
      </c>
      <c r="J19" s="20">
        <f>H19*I19</f>
        <v/>
      </c>
      <c r="K19" s="15" t="inlineStr">
        <is>
          <t>474-50V (470nf) ceramic</t>
        </is>
      </c>
      <c r="L19" s="15" t="inlineStr">
        <is>
          <t>C2 — only 1 needed (was 4)</t>
        </is>
      </c>
    </row>
    <row r="20" ht="96" customHeight="1">
      <c r="A20" s="7" t="inlineStr">
        <is>
          <t>Ceramic capacitor 100 nF</t>
        </is>
      </c>
      <c r="B20" s="7" t="inlineStr">
        <is>
          <t>104</t>
        </is>
      </c>
      <c r="C20" s="7" t="inlineStr">
        <is>
          <t>100 nF · 50 V · ceramic disc · THT</t>
        </is>
      </c>
      <c r="D20" s="8" t="inlineStr">
        <is>
          <t>Open</t>
        </is>
      </c>
      <c r="E20" s="12" t="inlineStr">
        <is>
          <t>no photo on site</t>
        </is>
      </c>
      <c r="F20" s="9" t="n">
        <v>5</v>
      </c>
      <c r="G20" s="9" t="n">
        <v>5</v>
      </c>
      <c r="H20" s="9">
        <f>F20+G20</f>
        <v/>
      </c>
      <c r="I20" s="10" t="n">
        <v>500</v>
      </c>
      <c r="J20" s="11">
        <f>H20*I20</f>
        <v/>
      </c>
      <c r="K20" s="7" t="inlineStr">
        <is>
          <t>104-50V ceramicDisk</t>
        </is>
      </c>
      <c r="L20" s="7" t="inlineStr">
        <is>
          <t>C3, C5, C7, C8, C9</t>
        </is>
      </c>
    </row>
    <row r="21" ht="96" customHeight="1">
      <c r="A21" s="7" t="inlineStr">
        <is>
          <t>Electrolytic capacitor 10 µF</t>
        </is>
      </c>
      <c r="B21" s="7" t="inlineStr">
        <is>
          <t>10 µF 50 V</t>
        </is>
      </c>
      <c r="C21" s="7" t="inlineStr">
        <is>
          <t>10 µF · 50 V · radial · 5 × 11.5 mm</t>
        </is>
      </c>
      <c r="D21" s="8" t="inlineStr">
        <is>
          <t>Open</t>
        </is>
      </c>
      <c r="E21" s="7" t="n"/>
      <c r="F21" s="9" t="n">
        <v>3</v>
      </c>
      <c r="G21" s="9" t="n">
        <v>2</v>
      </c>
      <c r="H21" s="9">
        <f>F21+G21</f>
        <v/>
      </c>
      <c r="I21" s="10" t="n">
        <v>1000</v>
      </c>
      <c r="J21" s="11">
        <f>H21*I21</f>
        <v/>
      </c>
      <c r="K21" s="7" t="inlineStr">
        <is>
          <t>10MF-50V 5×11,5</t>
        </is>
      </c>
      <c r="L21" s="7" t="inlineStr">
        <is>
          <t>C4, C6, C10 · site shows 0 UZS, price is an estimate</t>
        </is>
      </c>
    </row>
    <row r="22">
      <c r="I22" s="13" t="inlineStr">
        <is>
          <t>Subtotal</t>
        </is>
      </c>
      <c r="J22" s="14">
        <f>SUM(J13:J21)</f>
        <v/>
      </c>
    </row>
    <row r="24">
      <c r="A24" s="4" t="inlineStr">
        <is>
          <t>Modules &amp; sensors</t>
        </is>
      </c>
      <c r="B24" s="5" t="n"/>
      <c r="C24" s="6" t="inlineStr">
        <is>
          <t>Arduino / modules counter · +998 95 196-04-61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96" customHeight="1">
      <c r="A25" s="7" t="inlineStr">
        <is>
          <t>IR reflective sensor module</t>
        </is>
      </c>
      <c r="B25" s="7" t="inlineStr">
        <is>
          <t>HW-511 / FZ0225 (TCRT5000)</t>
        </is>
      </c>
      <c r="C25" s="7" t="inlineStr">
        <is>
          <t>IR LED + phototransistor · desolder the TCRT5000</t>
        </is>
      </c>
      <c r="D25" s="8" t="inlineStr">
        <is>
          <t>Open</t>
        </is>
      </c>
      <c r="E25" s="7" t="n"/>
      <c r="F25" s="9" t="n">
        <v>1</v>
      </c>
      <c r="G25" s="9" t="n">
        <v>1</v>
      </c>
      <c r="H25" s="9">
        <f>F25+G25</f>
        <v/>
      </c>
      <c r="I25" s="10" t="n">
        <v>8000</v>
      </c>
      <c r="J25" s="11">
        <f>H25*I25</f>
        <v/>
      </c>
      <c r="K25" s="7" t="inlineStr">
        <is>
          <t>FZ0225 / HW-511 Модуль датчика отслеживания линии</t>
        </is>
      </c>
      <c r="L25" s="7" t="inlineStr">
        <is>
          <t>U1 — heartbeat sensor</t>
        </is>
      </c>
    </row>
    <row r="26" ht="96" customHeight="1">
      <c r="A26" s="7" t="inlineStr">
        <is>
          <t>Pulse oximeter module</t>
        </is>
      </c>
      <c r="B26" s="7" t="inlineStr">
        <is>
          <t>GY-MAX30100</t>
        </is>
      </c>
      <c r="C26" s="7" t="inlineStr">
        <is>
          <t>I²C 0x57 · 3.3 V · backup heartbeat sensor</t>
        </is>
      </c>
      <c r="D26" s="8" t="inlineStr">
        <is>
          <t>Open</t>
        </is>
      </c>
      <c r="E26" s="7" t="n"/>
      <c r="F26" s="9" t="n">
        <v>1</v>
      </c>
      <c r="G26" s="9" t="n">
        <v>0</v>
      </c>
      <c r="H26" s="9">
        <f>F26+G26</f>
        <v/>
      </c>
      <c r="I26" s="10" t="n">
        <v>20000</v>
      </c>
      <c r="J26" s="11">
        <f>H26*I26</f>
        <v/>
      </c>
      <c r="K26" s="7" t="inlineStr">
        <is>
          <t>Оксиметр пульса GY-30100 MAX30100</t>
        </is>
      </c>
      <c r="L26" s="7" t="inlineStr">
        <is>
          <t>J9 · cheap boards pull I²C up to 1.8 V — cut the pull-ups</t>
        </is>
      </c>
    </row>
    <row r="27" ht="96" customHeight="1">
      <c r="A27" s="7" t="inlineStr">
        <is>
          <t>Temperature + humidity module</t>
        </is>
      </c>
      <c r="B27" s="7" t="inlineStr">
        <is>
          <t>GY-21 (SHT21)</t>
        </is>
      </c>
      <c r="C27" s="7" t="inlineStr">
        <is>
          <t>I²C 0x40 · 3.3 V</t>
        </is>
      </c>
      <c r="D27" s="8" t="inlineStr">
        <is>
          <t>Open</t>
        </is>
      </c>
      <c r="E27" s="7" t="n"/>
      <c r="F27" s="9" t="n">
        <v>1</v>
      </c>
      <c r="G27" s="9" t="n">
        <v>0</v>
      </c>
      <c r="H27" s="9">
        <f>F27+G27</f>
        <v/>
      </c>
      <c r="I27" s="10" t="n">
        <v>20000</v>
      </c>
      <c r="J27" s="11">
        <f>H27*I27</f>
        <v/>
      </c>
      <c r="K27" s="7" t="inlineStr">
        <is>
          <t>GY-21 SHT21 датчик влажности и температуры</t>
        </is>
      </c>
      <c r="L27" s="7" t="inlineStr">
        <is>
          <t>J7</t>
        </is>
      </c>
    </row>
    <row r="28" ht="96" customHeight="1">
      <c r="A28" s="7" t="inlineStr">
        <is>
          <t>Pressure module</t>
        </is>
      </c>
      <c r="B28" s="7" t="inlineStr">
        <is>
          <t>GY-BMP280</t>
        </is>
      </c>
      <c r="C28" s="7" t="inlineStr">
        <is>
          <t>I²C 0x76 (SDO → GND) · 3.3 V</t>
        </is>
      </c>
      <c r="D28" s="8" t="inlineStr">
        <is>
          <t>Open</t>
        </is>
      </c>
      <c r="E28" s="7" t="n"/>
      <c r="F28" s="9" t="n">
        <v>1</v>
      </c>
      <c r="G28" s="9" t="n">
        <v>0</v>
      </c>
      <c r="H28" s="9">
        <f>F28+G28</f>
        <v/>
      </c>
      <c r="I28" s="10" t="n">
        <v>10000</v>
      </c>
      <c r="J28" s="11">
        <f>H28*I28</f>
        <v/>
      </c>
      <c r="K28" s="7" t="inlineStr">
        <is>
          <t>Барометр BMP280</t>
        </is>
      </c>
      <c r="L28" s="7" t="inlineStr">
        <is>
          <t>J8 · store photo shows a BME280 board</t>
        </is>
      </c>
    </row>
    <row r="29">
      <c r="I29" s="13" t="inlineStr">
        <is>
          <t>Subtotal</t>
        </is>
      </c>
      <c r="J29" s="14">
        <f>SUM(J25:J28)</f>
        <v/>
      </c>
    </row>
    <row r="31">
      <c r="A31" s="4" t="inlineStr">
        <is>
          <t>Connectors, board &amp; wire</t>
        </is>
      </c>
      <c r="B31" s="5" t="n"/>
      <c r="C31" s="6" t="inlineStr">
        <is>
          <t>Ask either counter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96" customHeight="1">
      <c r="A32" s="7" t="inlineStr">
        <is>
          <t>Power connector</t>
        </is>
      </c>
      <c r="B32" s="7" t="inlineStr">
        <is>
          <t>XT30</t>
        </is>
      </c>
      <c r="C32" s="7" t="inlineStr">
        <is>
          <t>30 A · 2-pin · for 14.8 V from X8</t>
        </is>
      </c>
      <c r="D32" s="8" t="inlineStr">
        <is>
          <t>Open</t>
        </is>
      </c>
      <c r="E32" s="7" t="n"/>
      <c r="F32" s="9" t="n">
        <v>1</v>
      </c>
      <c r="G32" s="9" t="n">
        <v>1</v>
      </c>
      <c r="H32" s="9">
        <f>F32+G32</f>
        <v/>
      </c>
      <c r="I32" s="10" t="n">
        <v>5000</v>
      </c>
      <c r="J32" s="11">
        <f>H32*I32</f>
        <v/>
      </c>
      <c r="K32" s="7" t="inlineStr">
        <is>
          <t>XT30 Разъем</t>
        </is>
      </c>
      <c r="L32" s="7" t="inlineStr">
        <is>
          <t>J2</t>
        </is>
      </c>
    </row>
    <row r="33" ht="96" customHeight="1">
      <c r="A33" s="15" t="inlineStr">
        <is>
          <t>Terminal block 2-pin</t>
        </is>
      </c>
      <c r="B33" s="15" t="inlineStr">
        <is>
          <t>KF2EDG-2P</t>
        </is>
      </c>
      <c r="C33" s="15" t="inlineStr">
        <is>
          <t>5.08 mm pitch · pluggable · sold as a pair</t>
        </is>
      </c>
      <c r="D33" s="16" t="inlineStr">
        <is>
          <t>Open</t>
        </is>
      </c>
      <c r="E33" s="15" t="n"/>
      <c r="F33" s="18" t="n">
        <v>1</v>
      </c>
      <c r="G33" s="18" t="n">
        <v>1</v>
      </c>
      <c r="H33" s="18">
        <f>F33+G33</f>
        <v/>
      </c>
      <c r="I33" s="19" t="n">
        <v>1000</v>
      </c>
      <c r="J33" s="20">
        <f>H33*I33</f>
        <v/>
      </c>
      <c r="K33" s="15" t="inlineStr">
        <is>
          <t>Клемма KF2EDG-2pin 5,08mm пара</t>
        </is>
      </c>
      <c r="L33" s="15" t="inlineStr">
        <is>
          <t>J3 heater output — the only terminal block left in the schematic (was 3)</t>
        </is>
      </c>
    </row>
    <row r="34" ht="96" customHeight="1">
      <c r="A34" s="21" t="inlineStr">
        <is>
          <t>JST-XH connector kit</t>
        </is>
      </c>
      <c r="B34" s="21" t="inlineStr">
        <is>
          <t>XH2.54, 80 pcs</t>
        </is>
      </c>
      <c r="C34" s="21" t="inlineStr">
        <is>
          <t>2/3/4/5-pin · male + female · 2.54 mm</t>
        </is>
      </c>
      <c r="D34" s="22" t="inlineStr">
        <is>
          <t>Open</t>
        </is>
      </c>
      <c r="E34" s="21" t="n"/>
      <c r="F34" s="23" t="n">
        <v>1</v>
      </c>
      <c r="G34" s="23" t="n">
        <v>0</v>
      </c>
      <c r="H34" s="23">
        <f>F34+G34</f>
        <v/>
      </c>
      <c r="I34" s="24" t="n">
        <v>27000</v>
      </c>
      <c r="J34" s="25">
        <f>H34*I34</f>
        <v/>
      </c>
      <c r="K34" s="21" t="inlineStr">
        <is>
          <t>Набор Разъемов XH2.54 80шт, 2p 3p 4p 5p</t>
        </is>
      </c>
      <c r="L34" s="21" t="inlineStr">
        <is>
          <t>J1, J4, J7, J9 = 4-pin · J6, J8 = 5-pin · J5 = 3-pin. Needs a crimp tool</t>
        </is>
      </c>
    </row>
    <row r="35" ht="96" customHeight="1">
      <c r="A35" s="21" t="inlineStr">
        <is>
          <t>Sensor cable, 4-core</t>
        </is>
      </c>
      <c r="B35" s="21" t="inlineStr">
        <is>
          <t>2 m phone line cable</t>
        </is>
      </c>
      <c r="C35" s="21" t="inlineStr">
        <is>
          <t>RJ11 flat cable · check it is 4-core (6P4C)</t>
        </is>
      </c>
      <c r="D35" s="22" t="inlineStr">
        <is>
          <t>Open</t>
        </is>
      </c>
      <c r="E35" s="26" t="inlineStr">
        <is>
          <t>no photo on site</t>
        </is>
      </c>
      <c r="F35" s="23" t="n">
        <v>1</v>
      </c>
      <c r="G35" s="23" t="n">
        <v>0</v>
      </c>
      <c r="H35" s="23">
        <f>F35+G35</f>
        <v/>
      </c>
      <c r="I35" s="24" t="n">
        <v>4000</v>
      </c>
      <c r="J35" s="25">
        <f>H35*I35</f>
        <v/>
      </c>
      <c r="K35" s="21" t="inlineStr">
        <is>
          <t>2м Кабель телефонной линии</t>
        </is>
      </c>
      <c r="L35" s="21" t="inlineStr">
        <is>
          <t>J1 → TCRT5000 on the shell</t>
        </is>
      </c>
    </row>
    <row r="36" ht="96" customHeight="1">
      <c r="A36" s="21" t="inlineStr">
        <is>
          <t>Silicone wire 24 AWG</t>
        </is>
      </c>
      <c r="B36" s="21" t="inlineStr">
        <is>
          <t>3239 24AWG, 10 m</t>
        </is>
      </c>
      <c r="C36" s="21" t="inlineStr">
        <is>
          <t>0.21 mm² · silicone · flexible</t>
        </is>
      </c>
      <c r="D36" s="22" t="inlineStr">
        <is>
          <t>Open</t>
        </is>
      </c>
      <c r="E36" s="21" t="n"/>
      <c r="F36" s="23" t="n">
        <v>1</v>
      </c>
      <c r="G36" s="23" t="n">
        <v>0</v>
      </c>
      <c r="H36" s="23">
        <f>F36+G36</f>
        <v/>
      </c>
      <c r="I36" s="24" t="n">
        <v>15000</v>
      </c>
      <c r="J36" s="25">
        <f>H36*I36</f>
        <v/>
      </c>
      <c r="K36" s="21" t="inlineStr">
        <is>
          <t>3239 24AWG 10метр провод силиконовый</t>
        </is>
      </c>
      <c r="L36" s="21" t="inlineStr">
        <is>
          <t>Board wiring, module cables (J7–J9), thermistor and heater leads</t>
        </is>
      </c>
    </row>
    <row r="37" ht="96" customHeight="1">
      <c r="A37" s="21" t="inlineStr">
        <is>
          <t>Heat-shrink tube set</t>
        </is>
      </c>
      <c r="B37" s="21" t="inlineStr">
        <is>
          <t>XCL, 100 pcs</t>
        </is>
      </c>
      <c r="C37" s="21" t="inlineStr">
        <is>
          <t>Ø 2–7 mm · 20 cm lengths</t>
        </is>
      </c>
      <c r="D37" s="22" t="inlineStr">
        <is>
          <t>Open</t>
        </is>
      </c>
      <c r="E37" s="21" t="n"/>
      <c r="F37" s="23" t="n">
        <v>1</v>
      </c>
      <c r="G37" s="23" t="n">
        <v>0</v>
      </c>
      <c r="H37" s="23">
        <f>F37+G37</f>
        <v/>
      </c>
      <c r="I37" s="24" t="n">
        <v>30000</v>
      </c>
      <c r="J37" s="25">
        <f>H37*I37</f>
        <v/>
      </c>
      <c r="K37" s="21" t="inlineStr">
        <is>
          <t>Кембрик термоусадка набор XCL 100шт 20см Ø2-7мм</t>
        </is>
      </c>
      <c r="L37" s="21" t="inlineStr">
        <is>
          <t>Insulating sensor, thermistor and heater joints</t>
        </is>
      </c>
    </row>
    <row r="38" ht="96" customHeight="1">
      <c r="A38" s="21" t="inlineStr">
        <is>
          <t>Kapton tape 10 mm</t>
        </is>
      </c>
      <c r="B38" s="21" t="inlineStr">
        <is>
          <t>10 mm × 30 m</t>
        </is>
      </c>
      <c r="C38" s="21" t="inlineStr">
        <is>
          <t>polyimide · heat-resistant</t>
        </is>
      </c>
      <c r="D38" s="22" t="inlineStr">
        <is>
          <t>Open</t>
        </is>
      </c>
      <c r="E38" s="21" t="n"/>
      <c r="F38" s="23" t="n">
        <v>1</v>
      </c>
      <c r="G38" s="23" t="n">
        <v>0</v>
      </c>
      <c r="H38" s="23">
        <f>F38+G38</f>
        <v/>
      </c>
      <c r="I38" s="24" t="n">
        <v>15000</v>
      </c>
      <c r="J38" s="25">
        <f>H38*I38</f>
        <v/>
      </c>
      <c r="K38" s="21" t="inlineStr">
        <is>
          <t>10mm x30m каптоновый скотч Koptan</t>
        </is>
      </c>
      <c r="L38" s="21" t="inlineStr">
        <is>
          <t>Holds NTCs on the heater plate, fixes wires · store photo shows the 50 mm roll</t>
        </is>
      </c>
    </row>
    <row r="39" ht="96" customHeight="1">
      <c r="A39" s="21" t="inlineStr">
        <is>
          <t>Conformal coating (Tsapon lacquer)</t>
        </is>
      </c>
      <c r="B39" s="21" t="inlineStr">
        <is>
          <t>ЦапонЛак 30 ml</t>
        </is>
      </c>
      <c r="C39" s="21" t="inlineStr">
        <is>
          <t>clear · brush-on</t>
        </is>
      </c>
      <c r="D39" s="22" t="inlineStr">
        <is>
          <t>Open</t>
        </is>
      </c>
      <c r="E39" s="21" t="n"/>
      <c r="F39" s="23" t="n">
        <v>1</v>
      </c>
      <c r="G39" s="23" t="n">
        <v>0</v>
      </c>
      <c r="H39" s="23">
        <f>F39+G39</f>
        <v/>
      </c>
      <c r="I39" s="24" t="n">
        <v>14000</v>
      </c>
      <c r="J39" s="25">
        <f>H39*I39</f>
        <v/>
      </c>
      <c r="K39" s="21" t="inlineStr">
        <is>
          <t>ЦапонЛак 30мл бесцветный</t>
        </is>
      </c>
      <c r="L39" s="21" t="inlineStr">
        <is>
          <t>Protects the board from condensation in the cold · price from your 19 Oct list</t>
        </is>
      </c>
    </row>
    <row r="40" ht="96" customHeight="1">
      <c r="A40" s="7" t="inlineStr">
        <is>
          <t>Perfboard</t>
        </is>
      </c>
      <c r="B40" s="7" t="inlineStr">
        <is>
          <t>9 × 15 cm, single-sided</t>
        </is>
      </c>
      <c r="C40" s="7" t="inlineStr">
        <is>
          <t>2.54 mm pitch · cut to 76 × 76 mm</t>
        </is>
      </c>
      <c r="D40" s="8" t="inlineStr">
        <is>
          <t>Open</t>
        </is>
      </c>
      <c r="E40" s="7" t="n"/>
      <c r="F40" s="9" t="n">
        <v>1</v>
      </c>
      <c r="G40" s="9" t="n">
        <v>1</v>
      </c>
      <c r="H40" s="9">
        <f>F40+G40</f>
        <v/>
      </c>
      <c r="I40" s="10" t="n">
        <v>10000</v>
      </c>
      <c r="J40" s="11">
        <f>H40*I40</f>
        <v/>
      </c>
      <c r="K40" s="7" t="inlineStr">
        <is>
          <t>9×15 Монтажная плата зел 1стороняя</t>
        </is>
      </c>
      <c r="L40" s="7" t="inlineStr"/>
    </row>
    <row r="41">
      <c r="I41" s="13" t="inlineStr">
        <is>
          <t>Subtotal</t>
        </is>
      </c>
      <c r="J41" s="14">
        <f>SUM(J32:J40)</f>
        <v/>
      </c>
    </row>
    <row r="43">
      <c r="I43" s="27" t="inlineStr">
        <is>
          <t>TOTAL</t>
        </is>
      </c>
      <c r="J43" s="28">
        <f>J10+J22+J29+J41</f>
        <v/>
      </c>
    </row>
    <row r="45">
      <c r="A45" s="2" t="inlineStr">
        <is>
          <t>Not in this list: solder, flux and a JST-XH crimp tool — bring from the lab. Removed vs. previous version: KF2EDG 4-pin ×2 (J5/J6 are JST-XH in the schematic).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5" r:id="rId14"/>
    <hyperlink xmlns:r="http://schemas.openxmlformats.org/officeDocument/2006/relationships" ref="D26" r:id="rId15"/>
    <hyperlink xmlns:r="http://schemas.openxmlformats.org/officeDocument/2006/relationships" ref="D27" r:id="rId16"/>
    <hyperlink xmlns:r="http://schemas.openxmlformats.org/officeDocument/2006/relationships" ref="D28" r:id="rId17"/>
    <hyperlink xmlns:r="http://schemas.openxmlformats.org/officeDocument/2006/relationships" ref="D32" r:id="rId18"/>
    <hyperlink xmlns:r="http://schemas.openxmlformats.org/officeDocument/2006/relationships" ref="D33" r:id="rId19"/>
    <hyperlink xmlns:r="http://schemas.openxmlformats.org/officeDocument/2006/relationships" ref="D34" r:id="rId20"/>
    <hyperlink xmlns:r="http://schemas.openxmlformats.org/officeDocument/2006/relationships" ref="D35" r:id="rId21"/>
    <hyperlink xmlns:r="http://schemas.openxmlformats.org/officeDocument/2006/relationships" ref="D36" r:id="rId22"/>
    <hyperlink xmlns:r="http://schemas.openxmlformats.org/officeDocument/2006/relationships" ref="D37" r:id="rId23"/>
    <hyperlink xmlns:r="http://schemas.openxmlformats.org/officeDocument/2006/relationships" ref="D38" r:id="rId24"/>
    <hyperlink xmlns:r="http://schemas.openxmlformats.org/officeDocument/2006/relationships" ref="D39" r:id="rId25"/>
    <hyperlink xmlns:r="http://schemas.openxmlformats.org/officeDocument/2006/relationships" ref="D40" r:id="rId26"/>
  </hyperlinks>
  <pageMargins left="0.75" right="0.75" top="1" bottom="1" header="0.5" footer="0.5"/>
  <pageSetup orientation="landscape" fitToHeight="0" fitToWidth="1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2026-10-24T08:48:52Z</dcterms:created>
  <dcterms:modified xmlns:dcterms="http://purl.org/dc/terms/" xmlns:xsi="http://www.w3.org/2001/XMLSchema-instance" xsi:type="dcterms:W3CDTF">2026-10-24T08:48:53Z</dcterms:modified>
</cp:coreProperties>
</file>