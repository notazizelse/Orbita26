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nailPulse 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<sst xmlns="http://schemas.openxmlformats.org/spreadsheetml/2006/main" count="126" uniqueCount="99">
  <si>
    <t xml:space="preserve">Orbita SnailPulse — parts list (Microelectronica, electron.uz)</t>
  </si>
  <si>
    <t xml:space="preserve">Prices from electron.uz on 21 Oct 2026. Spares added for critical parts. Show the 'Name on site' column at the counter.</t>
  </si>
  <si>
    <t xml:space="preserve">#</t>
  </si>
  <si>
    <t xml:space="preserve">Part</t>
  </si>
  <si>
    <t xml:space="preserve">Name on site</t>
  </si>
  <si>
    <t xml:space="preserve">Used for</t>
  </si>
  <si>
    <t xml:space="preserve">Qty</t>
  </si>
  <si>
    <t xml:space="preserve">Spares</t>
  </si>
  <si>
    <t xml:space="preserve">Total qty</t>
  </si>
  <si>
    <t xml:space="preserve">Price each (UZS)</t>
  </si>
  <si>
    <t xml:space="preserve">Line total (UZS)</t>
  </si>
  <si>
    <t xml:space="preserve">Link</t>
  </si>
  <si>
    <t xml:space="preserve">Note</t>
  </si>
  <si>
    <t xml:space="preserve">TCRT5000 sensor module (HW-511)</t>
  </si>
  <si>
    <t xml:space="preserve">FZ0225 / HW-511 Модуль датчика отслеживания линии</t>
  </si>
  <si>
    <t xml:space="preserve">Heartbeat sensor (desolder TCRT5000)</t>
  </si>
  <si>
    <t xml:space="preserve">Open</t>
  </si>
  <si>
    <t xml:space="preserve">MAX30100 pulse sensor</t>
  </si>
  <si>
    <t xml:space="preserve">Оксиметр пульса GY-30100 MAX30100</t>
  </si>
  <si>
    <t xml:space="preserve">Backup heartbeat sensor (I2C)</t>
  </si>
  <si>
    <t xml:space="preserve">MCP6002 op-amp</t>
  </si>
  <si>
    <t xml:space="preserve">MCP6002 DIP8</t>
  </si>
  <si>
    <t xml:space="preserve">Amplifier + 1.65 V reference</t>
  </si>
  <si>
    <t xml:space="preserve">LM393N comparator</t>
  </si>
  <si>
    <t xml:space="preserve">LM393N DIP8</t>
  </si>
  <si>
    <t xml:space="preserve">Hardware overheat cutoff</t>
  </si>
  <si>
    <t xml:space="preserve">DIP-8 socket</t>
  </si>
  <si>
    <t xml:space="preserve">SCS-8 Dip 8pin панельки под микросхемы</t>
  </si>
  <si>
    <t xml:space="preserve">Sockets so chips can be swapped</t>
  </si>
  <si>
    <t xml:space="preserve">SHT21 temp/humidity module</t>
  </si>
  <si>
    <t xml:space="preserve">GY-21 SHT21 цифровой модуль датчика влажности и температуры</t>
  </si>
  <si>
    <t xml:space="preserve">Box temperature + humidity</t>
  </si>
  <si>
    <t xml:space="preserve">BMP280 pressure module</t>
  </si>
  <si>
    <t xml:space="preserve">Барометр BMP280 (датчик атмосферного давления)</t>
  </si>
  <si>
    <t xml:space="preserve">Box pressure</t>
  </si>
  <si>
    <t xml:space="preserve">IRLZ44N MOSFET</t>
  </si>
  <si>
    <t xml:space="preserve">IRLZ44N TO220</t>
  </si>
  <si>
    <t xml:space="preserve">Heater switch</t>
  </si>
  <si>
    <t xml:space="preserve">150 Ω 5 W resistor</t>
  </si>
  <si>
    <t xml:space="preserve">150om — 5W</t>
  </si>
  <si>
    <t xml:space="preserve">Heater (3 in parallel = 50 Ω)</t>
  </si>
  <si>
    <t xml:space="preserve">NTC 10k thermistor</t>
  </si>
  <si>
    <t xml:space="preserve">Терморезистор NTC MF58 10K</t>
  </si>
  <si>
    <t xml:space="preserve">Heater temp + cutoff sensing</t>
  </si>
  <si>
    <t xml:space="preserve">Trimpot 50k (3296W)</t>
  </si>
  <si>
    <t xml:space="preserve">50KOM 3296W-1-503LF</t>
  </si>
  <si>
    <t xml:space="preserve">Sensor load adjust</t>
  </si>
  <si>
    <t xml:space="preserve">Trimpot 10k (3296W)</t>
  </si>
  <si>
    <t xml:space="preserve">10KOM 3296W-1-103LF</t>
  </si>
  <si>
    <t xml:space="preserve">Cutoff threshold adjust</t>
  </si>
  <si>
    <t xml:space="preserve">XT30 connector</t>
  </si>
  <si>
    <t xml:space="preserve">XT30 Разъем</t>
  </si>
  <si>
    <t xml:space="preserve">14.8 V power from X8</t>
  </si>
  <si>
    <t xml:space="preserve">Resistor kit 0.25 W</t>
  </si>
  <si>
    <t xml:space="preserve">Набор резисторов 0,25Вт 300 шт, 30 значений</t>
  </si>
  <si>
    <t xml:space="preserve">All small resistors</t>
  </si>
  <si>
    <t xml:space="preserve">Check it has 1 MΩ</t>
  </si>
  <si>
    <t xml:space="preserve">Ceramic cap 1 µF (105)</t>
  </si>
  <si>
    <t xml:space="preserve">105-50V (1mf) ceramic</t>
  </si>
  <si>
    <t xml:space="preserve">High-pass filter</t>
  </si>
  <si>
    <t xml:space="preserve">Ceramic cap 470 nF (474)</t>
  </si>
  <si>
    <t xml:space="preserve">474-50V (470nf) ceramic</t>
  </si>
  <si>
    <t xml:space="preserve">Low-pass across 100k</t>
  </si>
  <si>
    <t xml:space="preserve">Ceramic cap 100 nF (104)</t>
  </si>
  <si>
    <t xml:space="preserve">104-50V ceramicDisk</t>
  </si>
  <si>
    <t xml:space="preserve">Decoupling</t>
  </si>
  <si>
    <t xml:space="preserve">Electrolytic 10 µF 50 V</t>
  </si>
  <si>
    <t xml:space="preserve">10MF-50V 5×11,5</t>
  </si>
  <si>
    <t xml:space="preserve">Bulk decoupling</t>
  </si>
  <si>
    <t xml:space="preserve">Site shows 0 UZS — price is an estimate, ask at counter</t>
  </si>
  <si>
    <t xml:space="preserve">Perfboard 9×15 cm</t>
  </si>
  <si>
    <t xml:space="preserve">9×15 Монтажная плата зел 1стороняя</t>
  </si>
  <si>
    <t xml:space="preserve">Main board (cut to 76×76 mm)</t>
  </si>
  <si>
    <t xml:space="preserve">XH2.54 connector kit</t>
  </si>
  <si>
    <t xml:space="preserve">Набор Разъемов XH2.54 80шт</t>
  </si>
  <si>
    <t xml:space="preserve">Locking connectors</t>
  </si>
  <si>
    <t xml:space="preserve">Terminal block 2-pin</t>
  </si>
  <si>
    <t xml:space="preserve">Клемма KF2EDG-2pin 5,08mm пара</t>
  </si>
  <si>
    <t xml:space="preserve">Power / heater</t>
  </si>
  <si>
    <t xml:space="preserve">Terminal block 4-pin</t>
  </si>
  <si>
    <t xml:space="preserve">Клемма KF2EDG-4pin 5,08mm пара</t>
  </si>
  <si>
    <t xml:space="preserve">Silicone wire 24AWG 10 m</t>
  </si>
  <si>
    <t xml:space="preserve">3239 24AWG (0,21мм²) 10метр провод силиконовый</t>
  </si>
  <si>
    <t xml:space="preserve">Board wiring</t>
  </si>
  <si>
    <t xml:space="preserve">Phone cable 2 m (4-core)</t>
  </si>
  <si>
    <t xml:space="preserve">2м Кабель телефонной линии</t>
  </si>
  <si>
    <t xml:space="preserve">Cable to sensor on the shell</t>
  </si>
  <si>
    <t xml:space="preserve">Heat-shrink kit 100 pcs</t>
  </si>
  <si>
    <t xml:space="preserve">Кембрик термоусадка набор XCL 100шт Ø2-7мм</t>
  </si>
  <si>
    <t xml:space="preserve">Insulation</t>
  </si>
  <si>
    <t xml:space="preserve">Kapton tape 10 mm</t>
  </si>
  <si>
    <t xml:space="preserve">10mm x30m каптоновый скотч</t>
  </si>
  <si>
    <t xml:space="preserve">Holding NTCs and wires</t>
  </si>
  <si>
    <t xml:space="preserve">Conformal varnish 30 ml</t>
  </si>
  <si>
    <t xml:space="preserve">ЦапонЛак 30мл</t>
  </si>
  <si>
    <t xml:space="preserve">Coats board against condensation</t>
  </si>
  <si>
    <t xml:space="preserve">TOTAL</t>
  </si>
  <si>
    <t xml:space="preserve">of which spares</t>
  </si>
  <si>
    <t xml:space="preserve">Yellow rows = critical parts with spares. Blue numbers are inputs you can change; totals update.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</si>
</sst>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&quot; UZS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4D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CCFFFF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lectron.uz/product/fz0225-&#1084;&#1086;&#1076;&#1091;&#1083;&#1100;-&#1076;&#1072;&#1090;&#1095;&#1080;&#1082;&#1072;-&#1086;&#1090;&#1089;&#1083;&#1077;&#1078;&#1080;&#1074;&#1072;&#1085;&#1080;&#1103;-&#1083;&#1080;&#1085;&#1080;&#1080;/" TargetMode="External"/><Relationship Id="rId2" Type="http://schemas.openxmlformats.org/officeDocument/2006/relationships/hyperlink" Target="https://electron.uz/product/&#1086;&#1082;&#1089;&#1080;&#1084;&#1077;&#1090;&#1088;-&#1087;&#1091;&#1083;&#1100;&#1089;&#1072;-gy-30100-max30100/" TargetMode="External"/><Relationship Id="rId3" Type="http://schemas.openxmlformats.org/officeDocument/2006/relationships/hyperlink" Target="https://electron.uz/product/mcp6002-dip8/" TargetMode="External"/><Relationship Id="rId4" Type="http://schemas.openxmlformats.org/officeDocument/2006/relationships/hyperlink" Target="https://electron.uz/product/lm393n-dip8/" TargetMode="External"/><Relationship Id="rId5" Type="http://schemas.openxmlformats.org/officeDocument/2006/relationships/hyperlink" Target="https://electron.uz/product/scs-8-dip-8pin-&#1087;&#1072;&#1085;&#1077;&#1083;&#1100;&#1082;&#1080;-&#1087;&#1086;&#1076;-&#1084;&#1080;&#1082;&#1088;&#1086;&#1089;&#1093;&#1077;&#1084;&#1099;/" TargetMode="External"/><Relationship Id="rId6" Type="http://schemas.openxmlformats.org/officeDocument/2006/relationships/hyperlink" Target="https://electron.uz/product/gy-21-sht21-&#1094;&#1080;&#1092;&#1088;&#1086;&#1074;&#1086;&#1081;-&#1084;&#1086;&#1076;&#1091;&#1083;&#1100;-&#1076;&#1072;&#1090;&#1095;&#1080;&#1082;&#1072;-&#1074;&#1083;&#1072;&#1078;&#1085;&#1086;&#1089;&#1090;&#1080;/" TargetMode="External"/><Relationship Id="rId7" Type="http://schemas.openxmlformats.org/officeDocument/2006/relationships/hyperlink" Target="https://electron.uz/product/&#1073;&#1072;&#1088;&#1086;&#1084;&#1077;&#1090;&#1088;-bmp280-&#1076;&#1072;&#1090;&#1095;&#1080;&#1082;-&#1072;&#1090;&#1084;&#1086;&#1089;&#1092;&#1077;&#1088;&#1085;&#1086;&#1075;&#1086;-&#1076;&#1072;&#1074;&#1083;&#1077;/" TargetMode="External"/><Relationship Id="rId8" Type="http://schemas.openxmlformats.org/officeDocument/2006/relationships/hyperlink" Target="https://electron.uz/product/irlz44/" TargetMode="External"/><Relationship Id="rId9" Type="http://schemas.openxmlformats.org/officeDocument/2006/relationships/hyperlink" Target="https://electron.uz/product/150om-5w/" TargetMode="External"/><Relationship Id="rId10" Type="http://schemas.openxmlformats.org/officeDocument/2006/relationships/hyperlink" Target="https://electron.uz/product/&#1090;&#1077;&#1088;&#1084;&#1086;&#1088;&#1077;&#1079;&#1080;&#1089;&#1090;&#1086;&#1088;-ntc-mf58-10k/" TargetMode="External"/><Relationship Id="rId11" Type="http://schemas.openxmlformats.org/officeDocument/2006/relationships/hyperlink" Target="https://electron.uz/product/50kom-3296w-1-503lf/" TargetMode="External"/><Relationship Id="rId12" Type="http://schemas.openxmlformats.org/officeDocument/2006/relationships/hyperlink" Target="https://electron.uz/product/10kom-3296w-1-103lf/" TargetMode="External"/><Relationship Id="rId13" Type="http://schemas.openxmlformats.org/officeDocument/2006/relationships/hyperlink" Target="https://electron.uz/product/xt30-&#1088;&#1072;&#1079;&#1098;&#1077;&#1084;-2/" TargetMode="External"/><Relationship Id="rId14" Type="http://schemas.openxmlformats.org/officeDocument/2006/relationships/hyperlink" Target="https://electron.uz/product/&#1085;&#1072;&#1073;&#1086;&#1088;-&#1088;&#1077;&#1079;&#1080;&#1089;&#1090;&#1086;&#1088;&#1086;&#1074;-025&#1074;&#1090;-300-&#1096;&#1090;30-&#1079;&#1085;&#1072;&#1095;&#1077;&#1085;&#1080;&#1081;/" TargetMode="External"/><Relationship Id="rId15" Type="http://schemas.openxmlformats.org/officeDocument/2006/relationships/hyperlink" Target="https://electron.uz/product/105-50v-1mf-ceramic/" TargetMode="External"/><Relationship Id="rId16" Type="http://schemas.openxmlformats.org/officeDocument/2006/relationships/hyperlink" Target="https://electron.uz/product/474-50v-470nf-ceramic/" TargetMode="External"/><Relationship Id="rId17" Type="http://schemas.openxmlformats.org/officeDocument/2006/relationships/hyperlink" Target="https://electron.uz/product/104-50v-ceramicdisk/" TargetMode="External"/><Relationship Id="rId18" Type="http://schemas.openxmlformats.org/officeDocument/2006/relationships/hyperlink" Target="https://electron.uz/product/10mf-50v-5x115/" TargetMode="External"/><Relationship Id="rId19" Type="http://schemas.openxmlformats.org/officeDocument/2006/relationships/hyperlink" Target="https://electron.uz/product/9x15-&#1084;&#1086;&#1085;&#1090;&#1072;&#1078;&#1085;&#1072;&#1103;-&#1087;&#1083;&#1072;&#1090;&#1072;-&#1079;&#1077;&#1083;-1&#1089;&#1090;&#1086;&#1088;&#1086;&#1085;&#1103;&#1103;/" TargetMode="External"/><Relationship Id="rId20" Type="http://schemas.openxmlformats.org/officeDocument/2006/relationships/hyperlink" Target="https://electron.uz/product/&#1085;&#1072;&#1073;&#1086;&#1088;-&#1088;&#1072;&#1079;&#1098;&#1077;&#1084;&#1086;&#1074;-xh2-54-80&#1096;&#1090;2p-3p-4p-5p-2-54&#1084;&#1084;-&#1087;&#1072;&#1087;&#1072;-&#1084;&#1072;&#1084;&#1072;/" TargetMode="External"/><Relationship Id="rId21" Type="http://schemas.openxmlformats.org/officeDocument/2006/relationships/hyperlink" Target="https://electron.uz/product/&#1082;&#1083;&#1077;&#1084;&#1084;&#1072;-kf2edg-2pin-508mm-&#1087;&#1072;&#1088;&#1072;/" TargetMode="External"/><Relationship Id="rId22" Type="http://schemas.openxmlformats.org/officeDocument/2006/relationships/hyperlink" Target="https://electron.uz/product/&#1082;&#1083;&#1077;&#1084;&#1084;&#1072;-kf2edg-4pin-508mm-&#1087;&#1072;&#1088;&#1072;/" TargetMode="External"/><Relationship Id="rId23" Type="http://schemas.openxmlformats.org/officeDocument/2006/relationships/hyperlink" Target="https://electron.uz/product/3239-24awg021mm2-10&#1084;&#1077;&#1090;&#1088;-&#1087;&#1088;&#1086;&#1074;&#1086;&#1076;-&#1084;&#1086;&#1085;&#1090;&#1072;&#1078;&#1085;&#1099;&#1081;-&#1089;&#1080;&#1083;&#1080;&#1082;&#1086;&#1085;&#1086;&#1074;&#1099;/" TargetMode="External"/><Relationship Id="rId24" Type="http://schemas.openxmlformats.org/officeDocument/2006/relationships/hyperlink" Target="https://electron.uz/product/2&#1084;-&#1082;&#1072;&#1073;&#1077;&#1083;&#1100;-&#1090;&#1077;&#1083;&#1077;&#1092;&#1086;&#1085;&#1085;&#1086;&#1081;-&#1083;&#1080;&#1085;&#1080;&#1080;/" TargetMode="External"/><Relationship Id="rId25" Type="http://schemas.openxmlformats.org/officeDocument/2006/relationships/hyperlink" Target="https://electron.uz/product/&#1082;&#1077;&#1084;&#1073;&#1088;&#1080;&#1082;-&#1090;&#1077;&#1088;&#1084;&#1086;&#1091;&#1089;&#1072;&#1076;&#1082;&#1072;-&#1085;&#1072;&#1073;&#1086;&#1088;-ncl-100&#1096;&#1090;-&#1082;&#1086;&#1084;&#1087;&#1083;&#1077;/" TargetMode="External"/><Relationship Id="rId26" Type="http://schemas.openxmlformats.org/officeDocument/2006/relationships/hyperlink" Target="https://electron.uz/product/10mm-x30m-&#1082;&#1072;&#1087;&#1090;&#1086;&#1085;&#1086;&#1074;&#1099;&#1081;-&#1089;&#1082;&#1086;&#1090;&#1095;-&#1090;&#1077;&#1088;&#1084;&#1086;&#1089;&#1090;&#1086;&#1081;&#1082;&#1080;&#1081;-&#1074;&#1099;&#1089;&#1086;/" TargetMode="External"/><Relationship Id="rId27" Type="http://schemas.openxmlformats.org/officeDocument/2006/relationships/hyperlink" Target="https://electron.uz/product/&#1094;&#1072;&#1087;&#1086;&#1085;&#1083;&#1072;&#1082;-30&#1084;&#1083;-&#1073;&#1077;&#1079;&#1094;&#1074;&#1077;&#1090;&#1085;&#1099;&#1081;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8"/>
    <col collapsed="false" customWidth="true" hidden="false" outlineLevel="0" max="11" min="11" style="0" width="3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3.85" hidden="false" customHeight="false" outlineLevel="0" collapsed="false">
      <c r="A5" s="4" t="n">
        <v>1</v>
      </c>
      <c r="B5" s="5" t="s">
        <v>13</v>
      </c>
      <c r="C5" s="5" t="s">
        <v>14</v>
      </c>
      <c r="D5" s="5" t="s">
        <v>15</v>
      </c>
      <c r="E5" s="6" t="n">
        <v>1</v>
      </c>
      <c r="F5" s="6" t="n">
        <v>2</v>
      </c>
      <c r="G5" s="4" t="n">
        <f aca="false">E5+F5</f>
        <v>3</v>
      </c>
      <c r="H5" s="7" t="n">
        <v>8000</v>
      </c>
      <c r="I5" s="8" t="n">
        <f aca="false">G5*H5</f>
        <v>24000</v>
      </c>
      <c r="J5" s="9" t="s">
        <v>16</v>
      </c>
      <c r="K5" s="5"/>
    </row>
    <row r="6" customFormat="false" ht="15" hidden="false" customHeight="false" outlineLevel="0" collapsed="false">
      <c r="A6" s="4" t="n">
        <v>2</v>
      </c>
      <c r="B6" s="5" t="s">
        <v>17</v>
      </c>
      <c r="C6" s="5" t="s">
        <v>18</v>
      </c>
      <c r="D6" s="5" t="s">
        <v>19</v>
      </c>
      <c r="E6" s="6" t="n">
        <v>1</v>
      </c>
      <c r="F6" s="6" t="n">
        <v>1</v>
      </c>
      <c r="G6" s="4" t="n">
        <f aca="false">E6+F6</f>
        <v>2</v>
      </c>
      <c r="H6" s="7" t="n">
        <v>20000</v>
      </c>
      <c r="I6" s="8" t="n">
        <f aca="false">G6*H6</f>
        <v>40000</v>
      </c>
      <c r="J6" s="9" t="s">
        <v>16</v>
      </c>
      <c r="K6" s="5"/>
    </row>
    <row r="7" customFormat="false" ht="15" hidden="false" customHeight="false" outlineLevel="0" collapsed="false">
      <c r="A7" s="4" t="n">
        <v>3</v>
      </c>
      <c r="B7" s="5" t="s">
        <v>20</v>
      </c>
      <c r="C7" s="5" t="s">
        <v>21</v>
      </c>
      <c r="D7" s="5" t="s">
        <v>22</v>
      </c>
      <c r="E7" s="6" t="n">
        <v>1</v>
      </c>
      <c r="F7" s="6" t="n">
        <v>2</v>
      </c>
      <c r="G7" s="4" t="n">
        <f aca="false">E7+F7</f>
        <v>3</v>
      </c>
      <c r="H7" s="7" t="n">
        <v>6800</v>
      </c>
      <c r="I7" s="8" t="n">
        <f aca="false">G7*H7</f>
        <v>20400</v>
      </c>
      <c r="J7" s="9" t="s">
        <v>16</v>
      </c>
      <c r="K7" s="5"/>
    </row>
    <row r="8" customFormat="false" ht="15" hidden="false" customHeight="false" outlineLevel="0" collapsed="false">
      <c r="A8" s="4" t="n">
        <v>4</v>
      </c>
      <c r="B8" s="5" t="s">
        <v>23</v>
      </c>
      <c r="C8" s="5" t="s">
        <v>24</v>
      </c>
      <c r="D8" s="5" t="s">
        <v>25</v>
      </c>
      <c r="E8" s="6" t="n">
        <v>1</v>
      </c>
      <c r="F8" s="6" t="n">
        <v>2</v>
      </c>
      <c r="G8" s="4" t="n">
        <f aca="false">E8+F8</f>
        <v>3</v>
      </c>
      <c r="H8" s="7" t="n">
        <v>3400</v>
      </c>
      <c r="I8" s="8" t="n">
        <f aca="false">G8*H8</f>
        <v>10200</v>
      </c>
      <c r="J8" s="9" t="s">
        <v>16</v>
      </c>
      <c r="K8" s="5"/>
    </row>
    <row r="9" customFormat="false" ht="15" hidden="false" customHeight="false" outlineLevel="0" collapsed="false">
      <c r="A9" s="4" t="n">
        <v>5</v>
      </c>
      <c r="B9" s="5" t="s">
        <v>26</v>
      </c>
      <c r="C9" s="5" t="s">
        <v>27</v>
      </c>
      <c r="D9" s="5" t="s">
        <v>28</v>
      </c>
      <c r="E9" s="6" t="n">
        <v>2</v>
      </c>
      <c r="F9" s="6" t="n">
        <v>2</v>
      </c>
      <c r="G9" s="4" t="n">
        <f aca="false">E9+F9</f>
        <v>4</v>
      </c>
      <c r="H9" s="7" t="n">
        <v>500</v>
      </c>
      <c r="I9" s="8" t="n">
        <f aca="false">G9*H9</f>
        <v>2000</v>
      </c>
      <c r="J9" s="9" t="s">
        <v>16</v>
      </c>
      <c r="K9" s="5"/>
    </row>
    <row r="10" customFormat="false" ht="23.85" hidden="false" customHeight="false" outlineLevel="0" collapsed="false">
      <c r="A10" s="4" t="n">
        <v>6</v>
      </c>
      <c r="B10" s="5" t="s">
        <v>29</v>
      </c>
      <c r="C10" s="5" t="s">
        <v>30</v>
      </c>
      <c r="D10" s="5" t="s">
        <v>31</v>
      </c>
      <c r="E10" s="6" t="n">
        <v>1</v>
      </c>
      <c r="F10" s="6" t="n">
        <v>1</v>
      </c>
      <c r="G10" s="4" t="n">
        <f aca="false">E10+F10</f>
        <v>2</v>
      </c>
      <c r="H10" s="7" t="n">
        <v>20000</v>
      </c>
      <c r="I10" s="8" t="n">
        <f aca="false">G10*H10</f>
        <v>40000</v>
      </c>
      <c r="J10" s="9" t="s">
        <v>16</v>
      </c>
      <c r="K10" s="5"/>
    </row>
    <row r="11" customFormat="false" ht="23.85" hidden="false" customHeight="false" outlineLevel="0" collapsed="false">
      <c r="A11" s="4" t="n">
        <v>7</v>
      </c>
      <c r="B11" s="5" t="s">
        <v>32</v>
      </c>
      <c r="C11" s="5" t="s">
        <v>33</v>
      </c>
      <c r="D11" s="5" t="s">
        <v>34</v>
      </c>
      <c r="E11" s="6" t="n">
        <v>1</v>
      </c>
      <c r="F11" s="6" t="n">
        <v>1</v>
      </c>
      <c r="G11" s="4" t="n">
        <f aca="false">E11+F11</f>
        <v>2</v>
      </c>
      <c r="H11" s="7" t="n">
        <v>10000</v>
      </c>
      <c r="I11" s="8" t="n">
        <f aca="false">G11*H11</f>
        <v>20000</v>
      </c>
      <c r="J11" s="9" t="s">
        <v>16</v>
      </c>
      <c r="K11" s="5"/>
    </row>
    <row r="12" customFormat="false" ht="15" hidden="false" customHeight="false" outlineLevel="0" collapsed="false">
      <c r="A12" s="4" t="n">
        <v>8</v>
      </c>
      <c r="B12" s="5" t="s">
        <v>35</v>
      </c>
      <c r="C12" s="5" t="s">
        <v>36</v>
      </c>
      <c r="D12" s="5" t="s">
        <v>37</v>
      </c>
      <c r="E12" s="6" t="n">
        <v>1</v>
      </c>
      <c r="F12" s="6" t="n">
        <v>2</v>
      </c>
      <c r="G12" s="4" t="n">
        <f aca="false">E12+F12</f>
        <v>3</v>
      </c>
      <c r="H12" s="7" t="n">
        <v>15000</v>
      </c>
      <c r="I12" s="8" t="n">
        <f aca="false">G12*H12</f>
        <v>45000</v>
      </c>
      <c r="J12" s="9" t="s">
        <v>16</v>
      </c>
      <c r="K12" s="5"/>
    </row>
    <row r="13" customFormat="false" ht="15" hidden="false" customHeight="false" outlineLevel="0" collapsed="false">
      <c r="A13" s="4" t="n">
        <v>9</v>
      </c>
      <c r="B13" s="5" t="s">
        <v>38</v>
      </c>
      <c r="C13" s="5" t="s">
        <v>39</v>
      </c>
      <c r="D13" s="5" t="s">
        <v>40</v>
      </c>
      <c r="E13" s="6" t="n">
        <v>3</v>
      </c>
      <c r="F13" s="6" t="n">
        <v>2</v>
      </c>
      <c r="G13" s="4" t="n">
        <f aca="false">E13+F13</f>
        <v>5</v>
      </c>
      <c r="H13" s="7" t="n">
        <v>2065</v>
      </c>
      <c r="I13" s="8" t="n">
        <f aca="false">G13*H13</f>
        <v>10325</v>
      </c>
      <c r="J13" s="9" t="s">
        <v>16</v>
      </c>
      <c r="K13" s="5"/>
    </row>
    <row r="14" customFormat="false" ht="15" hidden="false" customHeight="false" outlineLevel="0" collapsed="false">
      <c r="A14" s="4" t="n">
        <v>10</v>
      </c>
      <c r="B14" s="5" t="s">
        <v>41</v>
      </c>
      <c r="C14" s="5" t="s">
        <v>42</v>
      </c>
      <c r="D14" s="5" t="s">
        <v>43</v>
      </c>
      <c r="E14" s="6" t="n">
        <v>2</v>
      </c>
      <c r="F14" s="6" t="n">
        <v>2</v>
      </c>
      <c r="G14" s="4" t="n">
        <f aca="false">E14+F14</f>
        <v>4</v>
      </c>
      <c r="H14" s="7" t="n">
        <v>1000</v>
      </c>
      <c r="I14" s="8" t="n">
        <f aca="false">G14*H14</f>
        <v>4000</v>
      </c>
      <c r="J14" s="9" t="s">
        <v>16</v>
      </c>
      <c r="K14" s="5"/>
    </row>
    <row r="15" customFormat="false" ht="15" hidden="false" customHeight="false" outlineLevel="0" collapsed="false">
      <c r="A15" s="4" t="n">
        <v>11</v>
      </c>
      <c r="B15" s="5" t="s">
        <v>44</v>
      </c>
      <c r="C15" s="5" t="s">
        <v>45</v>
      </c>
      <c r="D15" s="5" t="s">
        <v>46</v>
      </c>
      <c r="E15" s="6" t="n">
        <v>1</v>
      </c>
      <c r="F15" s="6" t="n">
        <v>1</v>
      </c>
      <c r="G15" s="4" t="n">
        <f aca="false">E15+F15</f>
        <v>2</v>
      </c>
      <c r="H15" s="7" t="n">
        <v>2000</v>
      </c>
      <c r="I15" s="8" t="n">
        <f aca="false">G15*H15</f>
        <v>4000</v>
      </c>
      <c r="J15" s="9" t="s">
        <v>16</v>
      </c>
      <c r="K15" s="5"/>
    </row>
    <row r="16" customFormat="false" ht="15" hidden="false" customHeight="false" outlineLevel="0" collapsed="false">
      <c r="A16" s="4" t="n">
        <v>12</v>
      </c>
      <c r="B16" s="5" t="s">
        <v>47</v>
      </c>
      <c r="C16" s="5" t="s">
        <v>48</v>
      </c>
      <c r="D16" s="5" t="s">
        <v>49</v>
      </c>
      <c r="E16" s="6" t="n">
        <v>1</v>
      </c>
      <c r="F16" s="6" t="n">
        <v>1</v>
      </c>
      <c r="G16" s="4" t="n">
        <f aca="false">E16+F16</f>
        <v>2</v>
      </c>
      <c r="H16" s="7" t="n">
        <v>2000</v>
      </c>
      <c r="I16" s="8" t="n">
        <f aca="false">G16*H16</f>
        <v>4000</v>
      </c>
      <c r="J16" s="9" t="s">
        <v>16</v>
      </c>
      <c r="K16" s="5"/>
    </row>
    <row r="17" customFormat="false" ht="15" hidden="false" customHeight="false" outlineLevel="0" collapsed="false">
      <c r="A17" s="4" t="n">
        <v>13</v>
      </c>
      <c r="B17" s="5" t="s">
        <v>50</v>
      </c>
      <c r="C17" s="5" t="s">
        <v>51</v>
      </c>
      <c r="D17" s="5" t="s">
        <v>52</v>
      </c>
      <c r="E17" s="6" t="n">
        <v>1</v>
      </c>
      <c r="F17" s="6" t="n">
        <v>1</v>
      </c>
      <c r="G17" s="4" t="n">
        <f aca="false">E17+F17</f>
        <v>2</v>
      </c>
      <c r="H17" s="7" t="n">
        <v>5000</v>
      </c>
      <c r="I17" s="8" t="n">
        <f aca="false">G17*H17</f>
        <v>10000</v>
      </c>
      <c r="J17" s="9" t="s">
        <v>16</v>
      </c>
      <c r="K17" s="5"/>
    </row>
    <row r="18" customFormat="false" ht="15" hidden="false" customHeight="false" outlineLevel="0" collapsed="false">
      <c r="A18" s="10" t="n">
        <v>14</v>
      </c>
      <c r="B18" s="11" t="s">
        <v>53</v>
      </c>
      <c r="C18" s="11" t="s">
        <v>54</v>
      </c>
      <c r="D18" s="11" t="s">
        <v>55</v>
      </c>
      <c r="E18" s="12" t="n">
        <v>1</v>
      </c>
      <c r="F18" s="12" t="n">
        <v>0</v>
      </c>
      <c r="G18" s="10" t="n">
        <f aca="false">E18+F18</f>
        <v>1</v>
      </c>
      <c r="H18" s="13" t="n">
        <v>20000</v>
      </c>
      <c r="I18" s="14" t="n">
        <f aca="false">G18*H18</f>
        <v>20000</v>
      </c>
      <c r="J18" s="15" t="s">
        <v>16</v>
      </c>
      <c r="K18" s="11" t="s">
        <v>56</v>
      </c>
    </row>
    <row r="19" customFormat="false" ht="15" hidden="false" customHeight="false" outlineLevel="0" collapsed="false">
      <c r="A19" s="10" t="n">
        <v>15</v>
      </c>
      <c r="B19" s="11" t="s">
        <v>57</v>
      </c>
      <c r="C19" s="11" t="s">
        <v>58</v>
      </c>
      <c r="D19" s="11" t="s">
        <v>59</v>
      </c>
      <c r="E19" s="12" t="n">
        <v>6</v>
      </c>
      <c r="F19" s="12" t="n">
        <v>0</v>
      </c>
      <c r="G19" s="10" t="n">
        <f aca="false">E19+F19</f>
        <v>6</v>
      </c>
      <c r="H19" s="13" t="n">
        <v>500</v>
      </c>
      <c r="I19" s="14" t="n">
        <f aca="false">G19*H19</f>
        <v>3000</v>
      </c>
      <c r="J19" s="15" t="s">
        <v>16</v>
      </c>
      <c r="K19" s="11"/>
    </row>
    <row r="20" customFormat="false" ht="15" hidden="false" customHeight="false" outlineLevel="0" collapsed="false">
      <c r="A20" s="10" t="n">
        <v>16</v>
      </c>
      <c r="B20" s="11" t="s">
        <v>60</v>
      </c>
      <c r="C20" s="11" t="s">
        <v>61</v>
      </c>
      <c r="D20" s="11" t="s">
        <v>62</v>
      </c>
      <c r="E20" s="12" t="n">
        <v>4</v>
      </c>
      <c r="F20" s="12" t="n">
        <v>0</v>
      </c>
      <c r="G20" s="10" t="n">
        <f aca="false">E20+F20</f>
        <v>4</v>
      </c>
      <c r="H20" s="13" t="n">
        <v>500</v>
      </c>
      <c r="I20" s="14" t="n">
        <f aca="false">G20*H20</f>
        <v>2000</v>
      </c>
      <c r="J20" s="15" t="s">
        <v>16</v>
      </c>
      <c r="K20" s="11"/>
    </row>
    <row r="21" customFormat="false" ht="15" hidden="false" customHeight="false" outlineLevel="0" collapsed="false">
      <c r="A21" s="10" t="n">
        <v>17</v>
      </c>
      <c r="B21" s="11" t="s">
        <v>63</v>
      </c>
      <c r="C21" s="11" t="s">
        <v>64</v>
      </c>
      <c r="D21" s="11" t="s">
        <v>65</v>
      </c>
      <c r="E21" s="12" t="n">
        <v>10</v>
      </c>
      <c r="F21" s="12" t="n">
        <v>0</v>
      </c>
      <c r="G21" s="10" t="n">
        <f aca="false">E21+F21</f>
        <v>10</v>
      </c>
      <c r="H21" s="13" t="n">
        <v>500</v>
      </c>
      <c r="I21" s="14" t="n">
        <f aca="false">G21*H21</f>
        <v>5000</v>
      </c>
      <c r="J21" s="15" t="s">
        <v>16</v>
      </c>
      <c r="K21" s="11"/>
    </row>
    <row r="22" customFormat="false" ht="23.85" hidden="false" customHeight="false" outlineLevel="0" collapsed="false">
      <c r="A22" s="10" t="n">
        <v>18</v>
      </c>
      <c r="B22" s="11" t="s">
        <v>66</v>
      </c>
      <c r="C22" s="11" t="s">
        <v>67</v>
      </c>
      <c r="D22" s="11" t="s">
        <v>68</v>
      </c>
      <c r="E22" s="12" t="n">
        <v>5</v>
      </c>
      <c r="F22" s="12" t="n">
        <v>0</v>
      </c>
      <c r="G22" s="10" t="n">
        <f aca="false">E22+F22</f>
        <v>5</v>
      </c>
      <c r="H22" s="13" t="n">
        <v>1000</v>
      </c>
      <c r="I22" s="14" t="n">
        <f aca="false">G22*H22</f>
        <v>5000</v>
      </c>
      <c r="J22" s="15" t="s">
        <v>16</v>
      </c>
      <c r="K22" s="11" t="s">
        <v>69</v>
      </c>
    </row>
    <row r="23" customFormat="false" ht="15" hidden="false" customHeight="false" outlineLevel="0" collapsed="false">
      <c r="A23" s="4" t="n">
        <v>19</v>
      </c>
      <c r="B23" s="5" t="s">
        <v>70</v>
      </c>
      <c r="C23" s="5" t="s">
        <v>71</v>
      </c>
      <c r="D23" s="5" t="s">
        <v>72</v>
      </c>
      <c r="E23" s="6" t="n">
        <v>1</v>
      </c>
      <c r="F23" s="6" t="n">
        <v>1</v>
      </c>
      <c r="G23" s="4" t="n">
        <f aca="false">E23+F23</f>
        <v>2</v>
      </c>
      <c r="H23" s="7" t="n">
        <v>10000</v>
      </c>
      <c r="I23" s="8" t="n">
        <f aca="false">G23*H23</f>
        <v>20000</v>
      </c>
      <c r="J23" s="9" t="s">
        <v>16</v>
      </c>
      <c r="K23" s="5"/>
    </row>
    <row r="24" customFormat="false" ht="15" hidden="false" customHeight="false" outlineLevel="0" collapsed="false">
      <c r="A24" s="10" t="n">
        <v>20</v>
      </c>
      <c r="B24" s="11" t="s">
        <v>73</v>
      </c>
      <c r="C24" s="11" t="s">
        <v>74</v>
      </c>
      <c r="D24" s="11" t="s">
        <v>75</v>
      </c>
      <c r="E24" s="12" t="n">
        <v>1</v>
      </c>
      <c r="F24" s="12" t="n">
        <v>0</v>
      </c>
      <c r="G24" s="10" t="n">
        <f aca="false">E24+F24</f>
        <v>1</v>
      </c>
      <c r="H24" s="13" t="n">
        <v>27000</v>
      </c>
      <c r="I24" s="14" t="n">
        <f aca="false">G24*H24</f>
        <v>27000</v>
      </c>
      <c r="J24" s="15" t="s">
        <v>16</v>
      </c>
      <c r="K24" s="11"/>
    </row>
    <row r="25" customFormat="false" ht="15" hidden="false" customHeight="false" outlineLevel="0" collapsed="false">
      <c r="A25" s="10" t="n">
        <v>21</v>
      </c>
      <c r="B25" s="11" t="s">
        <v>76</v>
      </c>
      <c r="C25" s="11" t="s">
        <v>77</v>
      </c>
      <c r="D25" s="11" t="s">
        <v>78</v>
      </c>
      <c r="E25" s="12" t="n">
        <v>3</v>
      </c>
      <c r="F25" s="12" t="n">
        <v>0</v>
      </c>
      <c r="G25" s="10" t="n">
        <f aca="false">E25+F25</f>
        <v>3</v>
      </c>
      <c r="H25" s="13" t="n">
        <v>1000</v>
      </c>
      <c r="I25" s="14" t="n">
        <f aca="false">G25*H25</f>
        <v>3000</v>
      </c>
      <c r="J25" s="15" t="s">
        <v>16</v>
      </c>
      <c r="K25" s="11"/>
    </row>
    <row r="26" customFormat="false" ht="15" hidden="false" customHeight="false" outlineLevel="0" collapsed="false">
      <c r="A26" s="10" t="n">
        <v>22</v>
      </c>
      <c r="B26" s="11" t="s">
        <v>79</v>
      </c>
      <c r="C26" s="11" t="s">
        <v>80</v>
      </c>
      <c r="D26" s="11" t="s">
        <v>78</v>
      </c>
      <c r="E26" s="12" t="n">
        <v>2</v>
      </c>
      <c r="F26" s="12" t="n">
        <v>0</v>
      </c>
      <c r="G26" s="10" t="n">
        <f aca="false">E26+F26</f>
        <v>2</v>
      </c>
      <c r="H26" s="13" t="n">
        <v>3000</v>
      </c>
      <c r="I26" s="14" t="n">
        <f aca="false">G26*H26</f>
        <v>6000</v>
      </c>
      <c r="J26" s="15" t="s">
        <v>16</v>
      </c>
      <c r="K26" s="11"/>
    </row>
    <row r="27" customFormat="false" ht="23.85" hidden="false" customHeight="false" outlineLevel="0" collapsed="false">
      <c r="A27" s="10" t="n">
        <v>23</v>
      </c>
      <c r="B27" s="11" t="s">
        <v>81</v>
      </c>
      <c r="C27" s="11" t="s">
        <v>82</v>
      </c>
      <c r="D27" s="11" t="s">
        <v>83</v>
      </c>
      <c r="E27" s="12" t="n">
        <v>1</v>
      </c>
      <c r="F27" s="12" t="n">
        <v>0</v>
      </c>
      <c r="G27" s="10" t="n">
        <f aca="false">E27+F27</f>
        <v>1</v>
      </c>
      <c r="H27" s="13" t="n">
        <v>15000</v>
      </c>
      <c r="I27" s="14" t="n">
        <f aca="false">G27*H27</f>
        <v>15000</v>
      </c>
      <c r="J27" s="15" t="s">
        <v>16</v>
      </c>
      <c r="K27" s="11"/>
    </row>
    <row r="28" customFormat="false" ht="15" hidden="false" customHeight="false" outlineLevel="0" collapsed="false">
      <c r="A28" s="10" t="n">
        <v>24</v>
      </c>
      <c r="B28" s="11" t="s">
        <v>84</v>
      </c>
      <c r="C28" s="11" t="s">
        <v>85</v>
      </c>
      <c r="D28" s="11" t="s">
        <v>86</v>
      </c>
      <c r="E28" s="12" t="n">
        <v>1</v>
      </c>
      <c r="F28" s="12" t="n">
        <v>0</v>
      </c>
      <c r="G28" s="10" t="n">
        <f aca="false">E28+F28</f>
        <v>1</v>
      </c>
      <c r="H28" s="13" t="n">
        <v>4000</v>
      </c>
      <c r="I28" s="14" t="n">
        <f aca="false">G28*H28</f>
        <v>4000</v>
      </c>
      <c r="J28" s="15" t="s">
        <v>16</v>
      </c>
      <c r="K28" s="11"/>
    </row>
    <row r="29" customFormat="false" ht="15" hidden="false" customHeight="false" outlineLevel="0" collapsed="false">
      <c r="A29" s="10" t="n">
        <v>25</v>
      </c>
      <c r="B29" s="11" t="s">
        <v>87</v>
      </c>
      <c r="C29" s="11" t="s">
        <v>88</v>
      </c>
      <c r="D29" s="11" t="s">
        <v>89</v>
      </c>
      <c r="E29" s="12" t="n">
        <v>1</v>
      </c>
      <c r="F29" s="12" t="n">
        <v>0</v>
      </c>
      <c r="G29" s="10" t="n">
        <f aca="false">E29+F29</f>
        <v>1</v>
      </c>
      <c r="H29" s="13" t="n">
        <v>30000</v>
      </c>
      <c r="I29" s="14" t="n">
        <f aca="false">G29*H29</f>
        <v>30000</v>
      </c>
      <c r="J29" s="15" t="s">
        <v>16</v>
      </c>
      <c r="K29" s="11"/>
    </row>
    <row r="30" customFormat="false" ht="15" hidden="false" customHeight="false" outlineLevel="0" collapsed="false">
      <c r="A30" s="10" t="n">
        <v>26</v>
      </c>
      <c r="B30" s="11" t="s">
        <v>90</v>
      </c>
      <c r="C30" s="11" t="s">
        <v>91</v>
      </c>
      <c r="D30" s="11" t="s">
        <v>92</v>
      </c>
      <c r="E30" s="12" t="n">
        <v>1</v>
      </c>
      <c r="F30" s="12" t="n">
        <v>0</v>
      </c>
      <c r="G30" s="10" t="n">
        <f aca="false">E30+F30</f>
        <v>1</v>
      </c>
      <c r="H30" s="13" t="n">
        <v>15000</v>
      </c>
      <c r="I30" s="14" t="n">
        <f aca="false">G30*H30</f>
        <v>15000</v>
      </c>
      <c r="J30" s="15" t="s">
        <v>16</v>
      </c>
      <c r="K30" s="11"/>
    </row>
    <row r="31" customFormat="false" ht="15" hidden="false" customHeight="false" outlineLevel="0" collapsed="false">
      <c r="A31" s="10" t="n">
        <v>27</v>
      </c>
      <c r="B31" s="11" t="s">
        <v>93</v>
      </c>
      <c r="C31" s="11" t="s">
        <v>94</v>
      </c>
      <c r="D31" s="11" t="s">
        <v>95</v>
      </c>
      <c r="E31" s="12" t="n">
        <v>1</v>
      </c>
      <c r="F31" s="12" t="n">
        <v>0</v>
      </c>
      <c r="G31" s="10" t="n">
        <f aca="false">E31+F31</f>
        <v>1</v>
      </c>
      <c r="H31" s="13" t="n">
        <v>14000</v>
      </c>
      <c r="I31" s="14" t="n">
        <f aca="false">G31*H31</f>
        <v>14000</v>
      </c>
      <c r="J31" s="15" t="s">
        <v>16</v>
      </c>
      <c r="K31" s="11"/>
    </row>
    <row r="32" customFormat="false" ht="15" hidden="false" customHeight="false" outlineLevel="0" collapsed="false">
      <c r="A32" s="16"/>
      <c r="B32" s="17" t="s">
        <v>96</v>
      </c>
      <c r="C32" s="16"/>
      <c r="D32" s="16"/>
      <c r="E32" s="16"/>
      <c r="F32" s="16"/>
      <c r="G32" s="17" t="n">
        <f aca="false">SUM(G5:G31)</f>
        <v>76</v>
      </c>
      <c r="H32" s="16"/>
      <c r="I32" s="18" t="n">
        <f aca="false">SUM(I5:I31)</f>
        <v>402925</v>
      </c>
      <c r="J32" s="16"/>
      <c r="K32" s="16"/>
    </row>
    <row r="33" customFormat="false" ht="15" hidden="false" customHeight="false" outlineLevel="0" collapsed="false">
      <c r="B33" s="19" t="s">
        <v>97</v>
      </c>
      <c r="I33" s="20" t="n">
        <f aca="false">SUMPRODUCT(F5:F31,H5:H31)</f>
        <v>142530</v>
      </c>
    </row>
    <row r="35" customFormat="false" ht="15" hidden="false" customHeight="false" outlineLevel="0" collapsed="false">
      <c r="B35" s="2" t="s">
        <v>98</v>
      </c>
    </row>
  </sheetData>
  <hyperlinks>
    <hyperlink ref="J5" r:id="rId1" display="Open"/>
    <hyperlink ref="J6" r:id="rId2" display="Open"/>
    <hyperlink ref="J7" r:id="rId3" display="Open"/>
    <hyperlink ref="J8" r:id="rId4" display="Open"/>
    <hyperlink ref="J9" r:id="rId5" display="Open"/>
    <hyperlink ref="J10" r:id="rId6" display="Open"/>
    <hyperlink ref="J11" r:id="rId7" display="Open"/>
    <hyperlink ref="J12" r:id="rId8" display="Open"/>
    <hyperlink ref="J13" r:id="rId9" display="Open"/>
    <hyperlink ref="J14" r:id="rId10" display="Open"/>
    <hyperlink ref="J15" r:id="rId11" display="Open"/>
    <hyperlink ref="J16" r:id="rId12" display="Open"/>
    <hyperlink ref="J17" r:id="rId13" display="Open"/>
    <hyperlink ref="J18" r:id="rId14" display="Open"/>
    <hyperlink ref="J19" r:id="rId15" display="Open"/>
    <hyperlink ref="J20" r:id="rId16" display="Open"/>
    <hyperlink ref="J21" r:id="rId17" display="Open"/>
    <hyperlink ref="J22" r:id="rId18" display="Open"/>
    <hyperlink ref="J23" r:id="rId19" display="Open"/>
    <hyperlink ref="J24" r:id="rId20" display="Open"/>
    <hyperlink ref="J25" r:id="rId21" display="Open"/>
    <hyperlink ref="J26" r:id="rId22" display="Open"/>
    <hyperlink ref="J27" r:id="rId23" display="Open"/>
    <hyperlink ref="J28" r:id="rId24" display="Open"/>
    <hyperlink ref="J29" r:id="rId25" display="Open"/>
    <hyperlink ref="J30" r:id="rId26" display="Open"/>
    <hyperlink ref="J31" r:id="rId27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2026-10-21T16:52:58Z</dcterms:created>
  <dc:creator>openpyxl</dc:creator>
  <dc:description/>
  <dc:language>en-US</dc:language>
  <cp:lastModifiedBy/>
  <dcterms:modified xsi:type="dcterms:W3CDTF">2026-10-21T16:52:58Z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